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85efe30035fa4c/Desktop/Excel/Projects/PROJECT - 1/"/>
    </mc:Choice>
  </mc:AlternateContent>
  <xr:revisionPtr revIDLastSave="723" documentId="8_{39557E7E-BDF1-4029-93B5-636ED54F5708}" xr6:coauthVersionLast="47" xr6:coauthVersionMax="47" xr10:uidLastSave="{3256D2D7-3979-4B69-8174-C6EEF134135A}"/>
  <bookViews>
    <workbookView xWindow="-108" yWindow="-108" windowWidth="23256" windowHeight="12456" xr2:uid="{B56EE016-9716-43D7-8C2D-3EABC8685E2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7" i="1" l="1" a="1"/>
  <c r="D497" i="1" s="1"/>
  <c r="D487" i="1"/>
  <c r="D488" i="1"/>
  <c r="D489" i="1"/>
  <c r="D490" i="1"/>
  <c r="D486" i="1"/>
  <c r="C487" i="1"/>
  <c r="C488" i="1"/>
  <c r="C489" i="1"/>
  <c r="C490" i="1"/>
  <c r="C486" i="1"/>
  <c r="B487" i="1"/>
  <c r="B488" i="1"/>
  <c r="B489" i="1"/>
  <c r="B490" i="1"/>
  <c r="B486" i="1"/>
  <c r="C477" i="1"/>
  <c r="C478" i="1"/>
  <c r="C479" i="1"/>
  <c r="C480" i="1"/>
  <c r="C476" i="1"/>
  <c r="B469" i="1"/>
  <c r="B470" i="1"/>
  <c r="B471" i="1"/>
  <c r="B468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43" i="1"/>
  <c r="H394" i="1"/>
  <c r="H395" i="1"/>
  <c r="H396" i="1"/>
  <c r="H393" i="1"/>
  <c r="H369" i="1"/>
  <c r="H370" i="1"/>
  <c r="H368" i="1"/>
  <c r="J347" i="1"/>
  <c r="J348" i="1"/>
  <c r="C336" i="1"/>
  <c r="C337" i="1"/>
  <c r="C338" i="1"/>
  <c r="B336" i="1"/>
  <c r="B337" i="1"/>
  <c r="B338" i="1"/>
  <c r="C335" i="1"/>
  <c r="B335" i="1"/>
  <c r="B328" i="1"/>
  <c r="B329" i="1"/>
  <c r="B330" i="1"/>
  <c r="B327" i="1"/>
  <c r="I281" i="1" a="1"/>
  <c r="I281" i="1" s="1"/>
  <c r="J264" i="1"/>
  <c r="J262" i="1"/>
  <c r="I240" i="1"/>
  <c r="I238" i="1"/>
  <c r="I236" i="1"/>
  <c r="I211" i="1"/>
  <c r="J211" i="1"/>
  <c r="H211" i="1"/>
  <c r="I185" i="1"/>
  <c r="H185" i="1"/>
  <c r="L16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31" i="1"/>
  <c r="G107" i="1"/>
  <c r="G108" i="1"/>
  <c r="G109" i="1"/>
  <c r="G110" i="1"/>
  <c r="G111" i="1"/>
  <c r="G112" i="1"/>
  <c r="G113" i="1"/>
  <c r="G114" i="1"/>
  <c r="G115" i="1"/>
  <c r="G116" i="1"/>
  <c r="G117" i="1"/>
  <c r="G119" i="1"/>
  <c r="G120" i="1"/>
  <c r="G121" i="1"/>
  <c r="G122" i="1"/>
  <c r="G123" i="1"/>
  <c r="G124" i="1"/>
  <c r="G125" i="1"/>
  <c r="G126" i="1"/>
  <c r="G118" i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92" i="1"/>
  <c r="H92" i="1" s="1"/>
  <c r="I92" i="1" s="1"/>
  <c r="G93" i="1"/>
  <c r="H93" i="1" s="1"/>
  <c r="I93" i="1" s="1"/>
  <c r="G94" i="1"/>
  <c r="H94" i="1" s="1"/>
  <c r="I94" i="1" s="1"/>
  <c r="G95" i="1"/>
  <c r="H95" i="1" s="1"/>
  <c r="I95" i="1" s="1"/>
  <c r="G96" i="1"/>
  <c r="H96" i="1" s="1"/>
  <c r="I96" i="1" s="1"/>
  <c r="G97" i="1"/>
  <c r="H97" i="1" s="1"/>
  <c r="I97" i="1" s="1"/>
  <c r="G98" i="1"/>
  <c r="H98" i="1" s="1"/>
  <c r="I98" i="1" s="1"/>
  <c r="G99" i="1"/>
  <c r="H99" i="1" s="1"/>
  <c r="I99" i="1" s="1"/>
  <c r="G100" i="1"/>
  <c r="H100" i="1" s="1"/>
  <c r="I100" i="1" s="1"/>
  <c r="G101" i="1"/>
  <c r="H101" i="1" s="1"/>
  <c r="I101" i="1" s="1"/>
  <c r="G82" i="1"/>
  <c r="H82" i="1" s="1"/>
  <c r="I82" i="1" s="1"/>
  <c r="H69" i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58" i="1"/>
  <c r="H58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33" i="1"/>
  <c r="H33" i="1" s="1"/>
  <c r="H418" i="1" a="1"/>
  <c r="H4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<sst xmlns="http://schemas.openxmlformats.org/spreadsheetml/2006/main" count="1211" uniqueCount="178">
  <si>
    <t>PROJECT - 1 Fundametal Booster</t>
  </si>
  <si>
    <t>Essential Tasks</t>
  </si>
  <si>
    <t>Relative &amp; Absolute Cell References, Formatting, and Data Input</t>
  </si>
  <si>
    <t>Enter and format data (bold, italic, currency, date, custom formats).</t>
  </si>
  <si>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</si>
  <si>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</si>
  <si>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</si>
  <si>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</si>
  <si>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</si>
  <si>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</si>
  <si>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</si>
  <si>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</si>
  <si>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</si>
  <si>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</si>
  <si>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</si>
  <si>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</si>
  <si>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</si>
  <si>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</si>
  <si>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</si>
  <si>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</si>
  <si>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</si>
  <si>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</si>
  <si>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</si>
  <si>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</si>
  <si>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</si>
  <si>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</si>
  <si>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</si>
  <si>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</si>
  <si>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</si>
  <si>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</si>
  <si>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</si>
  <si>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</si>
  <si>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</si>
  <si>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</si>
  <si>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</si>
  <si>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</si>
  <si>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</si>
  <si>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</si>
  <si>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</si>
  <si>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</si>
  <si>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</si>
  <si>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</si>
  <si>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</si>
  <si>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</si>
  <si>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</si>
  <si>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</si>
  <si>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</si>
  <si>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</si>
  <si>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</si>
  <si>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</si>
  <si>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</si>
  <si>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</si>
  <si>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</si>
  <si>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</si>
  <si>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</si>
  <si>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</si>
  <si>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</si>
  <si>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</si>
  <si>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</si>
  <si>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</si>
  <si>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</si>
  <si>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</si>
  <si>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</si>
  <si>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</si>
  <si>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</si>
  <si>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</si>
  <si>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</si>
  <si>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</si>
  <si>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</si>
  <si>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</si>
  <si>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</si>
  <si>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</si>
  <si>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</si>
  <si>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</si>
  <si>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</si>
  <si>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</si>
  <si>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</si>
  <si>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</si>
  <si>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</si>
  <si>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</si>
  <si>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</si>
  <si>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</si>
  <si>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</si>
  <si>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</si>
  <si>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</si>
  <si>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</si>
  <si>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</si>
  <si>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</si>
  <si>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</si>
  <si>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</si>
  <si>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</si>
  <si>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</si>
  <si>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</si>
  <si>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Use absolute ($A$1) and relative (A1) references in formulas.</t>
  </si>
  <si>
    <t>Discount AMT</t>
  </si>
  <si>
    <t>Final Rate</t>
  </si>
  <si>
    <t>DISCOUNT(%)</t>
  </si>
  <si>
    <t>Using IF Formula &amp; Nesting IF Formulas</t>
  </si>
  <si>
    <t>Classify students' grades based on their scores.</t>
  </si>
  <si>
    <t>Total</t>
  </si>
  <si>
    <t>Grade</t>
  </si>
  <si>
    <t>Compute discounts for sales based on price thresholds.</t>
  </si>
  <si>
    <t>Discount(%)</t>
  </si>
  <si>
    <t>Using IF with AND/OR Formulas</t>
  </si>
  <si>
    <t>Identify students who scored above 80 in both Math &amp; Science using IF(AND(...)).</t>
  </si>
  <si>
    <t>Result</t>
  </si>
  <si>
    <t>Determine whether a product is eligible for discount using IF(OR(...)).</t>
  </si>
  <si>
    <t>Discount Status</t>
  </si>
  <si>
    <t>COUNTIFS, SUMIFS, AVERAGEIFS</t>
  </si>
  <si>
    <t>Count the number of students who scored above 50 in Math.</t>
  </si>
  <si>
    <t>Sum total sales for a specific region and product.</t>
  </si>
  <si>
    <t>East(Laptop)</t>
  </si>
  <si>
    <t>West(Printer)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</si>
  <si>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</si>
  <si>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</si>
  <si>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</si>
  <si>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</si>
  <si>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</si>
  <si>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</si>
  <si>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>Person 8 April Income</t>
  </si>
  <si>
    <t>FORMULA</t>
  </si>
  <si>
    <t>INDEX(A278:A297,MATCH(1,(A278:A297=D285)*(MONTH(A278:A297)=4),0))</t>
  </si>
  <si>
    <t>Look up employee details dynamically without column restrictions.</t>
  </si>
  <si>
    <t>Excel TEXT Functions</t>
  </si>
  <si>
    <t>Extract the first name from full names using LEFT and FIND.</t>
  </si>
  <si>
    <t>FULL NAME</t>
  </si>
  <si>
    <t>FIRST NAME</t>
  </si>
  <si>
    <t>Kripal Prajapati</t>
  </si>
  <si>
    <t>Sandipsinh Zala</t>
  </si>
  <si>
    <t>Meet Prajapati</t>
  </si>
  <si>
    <t>Nirav Pankuta</t>
  </si>
  <si>
    <t>Convert names to uppercase/lowercase using UPPER(), LOWER().</t>
  </si>
  <si>
    <t xml:space="preserve">UPPARCASE </t>
  </si>
  <si>
    <t>LOWERCASE</t>
  </si>
  <si>
    <t>XLOOKUP Function</t>
  </si>
  <si>
    <t>Search for salesperson performance based on flexible search criteria.</t>
  </si>
  <si>
    <t>Sales Person</t>
  </si>
  <si>
    <t>XLOOKUP(I347,D344:D363,D344:D363)</t>
  </si>
  <si>
    <t>XLOOKUP(I316,D316:D335,E316:E335)</t>
  </si>
  <si>
    <t>Find employee salaries without worrying about sorted data.</t>
  </si>
  <si>
    <t>EMP ID</t>
  </si>
  <si>
    <t>SALARY EMP</t>
  </si>
  <si>
    <t>XMATCH Function</t>
  </si>
  <si>
    <t>Find the position of a product in a sales list.</t>
  </si>
  <si>
    <t>PRODUCT NAME</t>
  </si>
  <si>
    <t>PRODUCT POSITION</t>
  </si>
  <si>
    <t>INDIRECT Function</t>
  </si>
  <si>
    <t>Dynamically reference a cell range using INDIRECT.</t>
  </si>
  <si>
    <t>REFRENCE</t>
  </si>
  <si>
    <t>INDIRECT</t>
  </si>
  <si>
    <t>INDIRECT(G418)</t>
  </si>
  <si>
    <t>OFFSET Function</t>
  </si>
  <si>
    <t>Create dynamic ranges for sales trends.</t>
  </si>
  <si>
    <t>OFFSET</t>
  </si>
  <si>
    <t>Date and Time Functions</t>
  </si>
  <si>
    <t>Calculate age from date of birth.</t>
  </si>
  <si>
    <t>DATE OF BIRTH</t>
  </si>
  <si>
    <t>AGE(YEARS)</t>
  </si>
  <si>
    <t>Find the difference in days between two dates.</t>
  </si>
  <si>
    <t>Start Date</t>
  </si>
  <si>
    <t>End Date</t>
  </si>
  <si>
    <t>Day Diffrence</t>
  </si>
  <si>
    <t>Math Functions</t>
  </si>
  <si>
    <t>Use ROUND(), CEILING(), and FLOOR() for financial calculations.</t>
  </si>
  <si>
    <t>AMOUNT</t>
  </si>
  <si>
    <t>ROUND(2DECIMALS)</t>
  </si>
  <si>
    <t>CEILING</t>
  </si>
  <si>
    <t>FLOOR</t>
  </si>
  <si>
    <t>Return Multiple Values using FILTER Function</t>
  </si>
  <si>
    <t>Extract a list of top-performing students based on scores.</t>
  </si>
  <si>
    <t>STUDENT NAME</t>
  </si>
  <si>
    <t>SCORE</t>
  </si>
  <si>
    <t>KRIPAL</t>
  </si>
  <si>
    <t>SANDIP</t>
  </si>
  <si>
    <t>MAHENDRA</t>
  </si>
  <si>
    <t>PRINYAKA</t>
  </si>
  <si>
    <t>KRISHA</t>
  </si>
  <si>
    <t>PRNAV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</si>
</sst>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[$-14009]dd/mm/yyyy;@"/>
    <numFmt numFmtId="166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165" fontId="0" fillId="0" borderId="0" xfId="0" applyNumberFormat="1"/>
    <xf numFmtId="14" fontId="0" fillId="0" borderId="0" xfId="0" applyNumberFormat="1"/>
    <xf numFmtId="9" fontId="0" fillId="6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6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8" borderId="0" xfId="0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14" fontId="7" fillId="17" borderId="3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14" fontId="7" fillId="7" borderId="4" xfId="0" applyNumberFormat="1" applyFont="1" applyFill="1" applyBorder="1" applyAlignment="1">
      <alignment horizontal="center" vertical="center" wrapText="1"/>
    </xf>
    <xf numFmtId="0" fontId="5" fillId="17" borderId="6" xfId="0" applyFont="1" applyFill="1" applyBorder="1" applyAlignment="1">
      <alignment horizontal="center" vertical="center" wrapText="1"/>
    </xf>
    <xf numFmtId="14" fontId="5" fillId="17" borderId="6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14" fontId="5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/>
    <xf numFmtId="164" fontId="5" fillId="7" borderId="6" xfId="0" applyNumberFormat="1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4" fontId="6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9" fontId="6" fillId="7" borderId="6" xfId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18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5" fillId="18" borderId="6" xfId="0" applyFont="1" applyFill="1" applyBorder="1"/>
    <xf numFmtId="0" fontId="5" fillId="6" borderId="6" xfId="0" applyFont="1" applyFill="1" applyBorder="1"/>
    <xf numFmtId="0" fontId="8" fillId="17" borderId="19" xfId="0" applyFont="1" applyFill="1" applyBorder="1" applyAlignment="1">
      <alignment horizontal="center" vertical="center" wrapText="1"/>
    </xf>
    <xf numFmtId="14" fontId="5" fillId="7" borderId="20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/>
    <xf numFmtId="166" fontId="5" fillId="7" borderId="6" xfId="0" applyNumberFormat="1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14" fontId="5" fillId="6" borderId="6" xfId="0" applyNumberFormat="1" applyFont="1" applyFill="1" applyBorder="1" applyAlignment="1">
      <alignment horizontal="center" vertical="center"/>
    </xf>
    <xf numFmtId="14" fontId="5" fillId="6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1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15" borderId="1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AEAB-45EB-41C5-9A19-BCD065F33E07}">
  <dimension ref="A1:N501"/>
  <sheetViews>
    <sheetView tabSelected="1" topLeftCell="E27" zoomScale="67" zoomScaleNormal="67" workbookViewId="0">
      <selection activeCell="N33" sqref="N33"/>
    </sheetView>
  </sheetViews>
  <sheetFormatPr defaultRowHeight="14.4" x14ac:dyDescent="0.3"/>
  <cols>
    <col min="1" max="1" width="28.21875" customWidth="1"/>
    <col min="2" max="2" width="31.33203125" customWidth="1"/>
    <col min="3" max="3" width="25.77734375" customWidth="1"/>
    <col min="4" max="4" width="28.88671875" customWidth="1"/>
    <col min="5" max="5" width="33.109375" customWidth="1"/>
    <col min="6" max="6" width="31.21875" style="7" customWidth="1"/>
    <col min="7" max="7" width="22.6640625" customWidth="1"/>
    <col min="8" max="8" width="23.6640625" customWidth="1"/>
    <col min="9" max="9" width="37.5546875" style="10" customWidth="1"/>
    <col min="10" max="10" width="20.21875" style="10" customWidth="1"/>
    <col min="11" max="11" width="25.88671875" style="10" customWidth="1"/>
    <col min="12" max="12" width="13.88671875" customWidth="1"/>
    <col min="13" max="13" width="67.77734375" bestFit="1" customWidth="1"/>
    <col min="14" max="14" width="10.88671875" customWidth="1"/>
  </cols>
  <sheetData>
    <row r="1" spans="1:12" x14ac:dyDescent="0.3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x14ac:dyDescent="0.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1:12" ht="23.4" x14ac:dyDescent="0.3">
      <c r="A4" s="75" t="s">
        <v>1</v>
      </c>
      <c r="B4" s="75"/>
      <c r="C4" s="75"/>
      <c r="D4" s="75"/>
      <c r="E4" s="75"/>
      <c r="F4" s="75"/>
      <c r="G4" s="75"/>
    </row>
    <row r="5" spans="1:12" ht="23.4" x14ac:dyDescent="0.3">
      <c r="A5" s="74" t="s">
        <v>2</v>
      </c>
      <c r="B5" s="74"/>
      <c r="C5" s="74"/>
      <c r="D5" s="74"/>
      <c r="E5" s="74"/>
      <c r="F5" s="74"/>
      <c r="G5" s="74"/>
    </row>
    <row r="6" spans="1:12" ht="23.4" x14ac:dyDescent="0.3">
      <c r="A6" s="74" t="s">
        <v>3</v>
      </c>
      <c r="B6" s="74"/>
      <c r="C6" s="74"/>
      <c r="D6" s="74"/>
      <c r="E6" s="74"/>
      <c r="F6" s="74"/>
      <c r="G6" s="74"/>
    </row>
    <row r="7" spans="1:12" ht="15" thickBot="1" x14ac:dyDescent="0.35"/>
    <row r="8" spans="1:12" ht="21.6" thickBot="1" x14ac:dyDescent="0.35">
      <c r="A8" s="19" t="s">
        <v>30</v>
      </c>
      <c r="B8" s="20" t="s">
        <v>31</v>
      </c>
      <c r="C8" s="20" t="s">
        <v>32</v>
      </c>
      <c r="D8" s="20" t="s">
        <v>33</v>
      </c>
      <c r="E8" s="20" t="s">
        <v>34</v>
      </c>
      <c r="F8" s="21" t="s">
        <v>35</v>
      </c>
    </row>
    <row r="9" spans="1:12" ht="21.6" thickBot="1" x14ac:dyDescent="0.35">
      <c r="A9" s="22">
        <v>2001</v>
      </c>
      <c r="B9" s="23" t="s">
        <v>36</v>
      </c>
      <c r="C9" s="23" t="s">
        <v>37</v>
      </c>
      <c r="D9" s="23" t="s">
        <v>38</v>
      </c>
      <c r="E9" s="24">
        <v>7048</v>
      </c>
      <c r="F9" s="25">
        <v>44927</v>
      </c>
      <c r="G9" s="6"/>
    </row>
    <row r="10" spans="1:12" ht="21.6" thickBot="1" x14ac:dyDescent="0.35">
      <c r="A10" s="22">
        <v>2002</v>
      </c>
      <c r="B10" s="23" t="s">
        <v>39</v>
      </c>
      <c r="C10" s="23" t="s">
        <v>40</v>
      </c>
      <c r="D10" s="23" t="s">
        <v>41</v>
      </c>
      <c r="E10" s="24">
        <v>17428</v>
      </c>
      <c r="F10" s="25">
        <v>44942</v>
      </c>
    </row>
    <row r="11" spans="1:12" ht="21.6" thickBot="1" x14ac:dyDescent="0.35">
      <c r="A11" s="22">
        <v>2003</v>
      </c>
      <c r="B11" s="23" t="s">
        <v>42</v>
      </c>
      <c r="C11" s="23" t="s">
        <v>37</v>
      </c>
      <c r="D11" s="23" t="s">
        <v>43</v>
      </c>
      <c r="E11" s="24">
        <v>23672</v>
      </c>
      <c r="F11" s="25">
        <v>44957</v>
      </c>
    </row>
    <row r="12" spans="1:12" ht="21.6" thickBot="1" x14ac:dyDescent="0.35">
      <c r="A12" s="22">
        <v>2004</v>
      </c>
      <c r="B12" s="23" t="s">
        <v>39</v>
      </c>
      <c r="C12" s="23" t="s">
        <v>44</v>
      </c>
      <c r="D12" s="23" t="s">
        <v>45</v>
      </c>
      <c r="E12" s="24">
        <v>5264</v>
      </c>
      <c r="F12" s="25">
        <v>44972</v>
      </c>
    </row>
    <row r="13" spans="1:12" ht="21.6" thickBot="1" x14ac:dyDescent="0.35">
      <c r="A13" s="22">
        <v>2005</v>
      </c>
      <c r="B13" s="23" t="s">
        <v>36</v>
      </c>
      <c r="C13" s="23" t="s">
        <v>46</v>
      </c>
      <c r="D13" s="23" t="s">
        <v>47</v>
      </c>
      <c r="E13" s="24">
        <v>43388</v>
      </c>
      <c r="F13" s="25">
        <v>44987</v>
      </c>
    </row>
    <row r="14" spans="1:12" ht="21.6" thickBot="1" x14ac:dyDescent="0.35">
      <c r="A14" s="22">
        <v>2006</v>
      </c>
      <c r="B14" s="23" t="s">
        <v>42</v>
      </c>
      <c r="C14" s="23" t="s">
        <v>46</v>
      </c>
      <c r="D14" s="23" t="s">
        <v>48</v>
      </c>
      <c r="E14" s="24">
        <v>19757</v>
      </c>
      <c r="F14" s="25">
        <v>45002</v>
      </c>
    </row>
    <row r="15" spans="1:12" ht="21.6" thickBot="1" x14ac:dyDescent="0.35">
      <c r="A15" s="22">
        <v>2007</v>
      </c>
      <c r="B15" s="23" t="s">
        <v>42</v>
      </c>
      <c r="C15" s="23" t="s">
        <v>44</v>
      </c>
      <c r="D15" s="23" t="s">
        <v>49</v>
      </c>
      <c r="E15" s="24">
        <v>32058</v>
      </c>
      <c r="F15" s="25">
        <v>45017</v>
      </c>
    </row>
    <row r="16" spans="1:12" ht="21.6" thickBot="1" x14ac:dyDescent="0.35">
      <c r="A16" s="22">
        <v>2008</v>
      </c>
      <c r="B16" s="23" t="s">
        <v>36</v>
      </c>
      <c r="C16" s="23" t="s">
        <v>44</v>
      </c>
      <c r="D16" s="23" t="s">
        <v>50</v>
      </c>
      <c r="E16" s="24">
        <v>46429</v>
      </c>
      <c r="F16" s="25">
        <v>45032</v>
      </c>
    </row>
    <row r="17" spans="1:8" ht="21.6" thickBot="1" x14ac:dyDescent="0.35">
      <c r="A17" s="22">
        <v>2009</v>
      </c>
      <c r="B17" s="23" t="s">
        <v>39</v>
      </c>
      <c r="C17" s="23" t="s">
        <v>44</v>
      </c>
      <c r="D17" s="23" t="s">
        <v>51</v>
      </c>
      <c r="E17" s="24">
        <v>19746</v>
      </c>
      <c r="F17" s="25">
        <v>45047</v>
      </c>
    </row>
    <row r="18" spans="1:8" ht="21.6" thickBot="1" x14ac:dyDescent="0.35">
      <c r="A18" s="22">
        <v>2010</v>
      </c>
      <c r="B18" s="23" t="s">
        <v>36</v>
      </c>
      <c r="C18" s="23" t="s">
        <v>37</v>
      </c>
      <c r="D18" s="23" t="s">
        <v>52</v>
      </c>
      <c r="E18" s="24">
        <v>35185</v>
      </c>
      <c r="F18" s="25">
        <v>45062</v>
      </c>
    </row>
    <row r="19" spans="1:8" ht="21.6" thickBot="1" x14ac:dyDescent="0.35">
      <c r="A19" s="22">
        <v>2011</v>
      </c>
      <c r="B19" s="23" t="s">
        <v>36</v>
      </c>
      <c r="C19" s="23" t="s">
        <v>44</v>
      </c>
      <c r="D19" s="23" t="s">
        <v>53</v>
      </c>
      <c r="E19" s="24">
        <v>33920</v>
      </c>
      <c r="F19" s="25">
        <v>45077</v>
      </c>
    </row>
    <row r="20" spans="1:8" ht="21.6" thickBot="1" x14ac:dyDescent="0.35">
      <c r="A20" s="22">
        <v>2012</v>
      </c>
      <c r="B20" s="23" t="s">
        <v>54</v>
      </c>
      <c r="C20" s="23" t="s">
        <v>46</v>
      </c>
      <c r="D20" s="23" t="s">
        <v>55</v>
      </c>
      <c r="E20" s="24">
        <v>35611</v>
      </c>
      <c r="F20" s="25">
        <v>45092</v>
      </c>
    </row>
    <row r="21" spans="1:8" ht="21.6" thickBot="1" x14ac:dyDescent="0.35">
      <c r="A21" s="22">
        <v>2013</v>
      </c>
      <c r="B21" s="23" t="s">
        <v>56</v>
      </c>
      <c r="C21" s="23" t="s">
        <v>44</v>
      </c>
      <c r="D21" s="23" t="s">
        <v>57</v>
      </c>
      <c r="E21" s="24">
        <v>15560</v>
      </c>
      <c r="F21" s="25">
        <v>45107</v>
      </c>
    </row>
    <row r="22" spans="1:8" ht="21.6" thickBot="1" x14ac:dyDescent="0.35">
      <c r="A22" s="22">
        <v>2014</v>
      </c>
      <c r="B22" s="23" t="s">
        <v>56</v>
      </c>
      <c r="C22" s="23" t="s">
        <v>37</v>
      </c>
      <c r="D22" s="23" t="s">
        <v>58</v>
      </c>
      <c r="E22" s="24">
        <v>7283</v>
      </c>
      <c r="F22" s="25">
        <v>45122</v>
      </c>
    </row>
    <row r="23" spans="1:8" ht="21.6" thickBot="1" x14ac:dyDescent="0.35">
      <c r="A23" s="22">
        <v>2015</v>
      </c>
      <c r="B23" s="23" t="s">
        <v>56</v>
      </c>
      <c r="C23" s="23" t="s">
        <v>44</v>
      </c>
      <c r="D23" s="23" t="s">
        <v>59</v>
      </c>
      <c r="E23" s="24">
        <v>15678</v>
      </c>
      <c r="F23" s="25">
        <v>45137</v>
      </c>
    </row>
    <row r="24" spans="1:8" ht="21.6" thickBot="1" x14ac:dyDescent="0.35">
      <c r="A24" s="22">
        <v>2016</v>
      </c>
      <c r="B24" s="23" t="s">
        <v>42</v>
      </c>
      <c r="C24" s="23" t="s">
        <v>44</v>
      </c>
      <c r="D24" s="23" t="s">
        <v>60</v>
      </c>
      <c r="E24" s="24">
        <v>5277</v>
      </c>
      <c r="F24" s="25">
        <v>45152</v>
      </c>
    </row>
    <row r="25" spans="1:8" ht="21.6" thickBot="1" x14ac:dyDescent="0.35">
      <c r="A25" s="22">
        <v>2017</v>
      </c>
      <c r="B25" s="23" t="s">
        <v>54</v>
      </c>
      <c r="C25" s="23" t="s">
        <v>46</v>
      </c>
      <c r="D25" s="23" t="s">
        <v>61</v>
      </c>
      <c r="E25" s="24">
        <v>41871</v>
      </c>
      <c r="F25" s="25">
        <v>45167</v>
      </c>
    </row>
    <row r="26" spans="1:8" ht="21.6" thickBot="1" x14ac:dyDescent="0.35">
      <c r="A26" s="22">
        <v>2018</v>
      </c>
      <c r="B26" s="23" t="s">
        <v>54</v>
      </c>
      <c r="C26" s="23" t="s">
        <v>40</v>
      </c>
      <c r="D26" s="23" t="s">
        <v>62</v>
      </c>
      <c r="E26" s="24">
        <v>38161</v>
      </c>
      <c r="F26" s="25">
        <v>45182</v>
      </c>
    </row>
    <row r="27" spans="1:8" ht="21.6" thickBot="1" x14ac:dyDescent="0.35">
      <c r="A27" s="22">
        <v>2019</v>
      </c>
      <c r="B27" s="23" t="s">
        <v>42</v>
      </c>
      <c r="C27" s="23" t="s">
        <v>40</v>
      </c>
      <c r="D27" s="23" t="s">
        <v>63</v>
      </c>
      <c r="E27" s="24">
        <v>30436</v>
      </c>
      <c r="F27" s="25">
        <v>45197</v>
      </c>
    </row>
    <row r="28" spans="1:8" ht="21.6" thickBot="1" x14ac:dyDescent="0.35">
      <c r="A28" s="22">
        <v>2020</v>
      </c>
      <c r="B28" s="23" t="s">
        <v>39</v>
      </c>
      <c r="C28" s="23" t="s">
        <v>40</v>
      </c>
      <c r="D28" s="23" t="s">
        <v>64</v>
      </c>
      <c r="E28" s="24">
        <v>33953</v>
      </c>
      <c r="F28" s="25">
        <v>45212</v>
      </c>
    </row>
    <row r="30" spans="1:8" ht="23.4" x14ac:dyDescent="0.45">
      <c r="A30" s="76" t="s">
        <v>93</v>
      </c>
      <c r="B30" s="77"/>
      <c r="C30" s="77"/>
      <c r="D30" s="77"/>
      <c r="E30" s="77"/>
      <c r="F30" s="77"/>
      <c r="G30" s="77"/>
      <c r="H30" s="77"/>
    </row>
    <row r="32" spans="1:8" ht="21" x14ac:dyDescent="0.3">
      <c r="A32" s="26" t="s">
        <v>30</v>
      </c>
      <c r="B32" s="26" t="s">
        <v>31</v>
      </c>
      <c r="C32" s="26" t="s">
        <v>32</v>
      </c>
      <c r="D32" s="26" t="s">
        <v>33</v>
      </c>
      <c r="E32" s="26" t="s">
        <v>34</v>
      </c>
      <c r="F32" s="27" t="s">
        <v>35</v>
      </c>
      <c r="G32" s="26" t="s">
        <v>94</v>
      </c>
      <c r="H32" s="26" t="s">
        <v>95</v>
      </c>
    </row>
    <row r="33" spans="1:14" ht="21" x14ac:dyDescent="0.4">
      <c r="A33" s="28">
        <v>2001</v>
      </c>
      <c r="B33" s="28" t="s">
        <v>36</v>
      </c>
      <c r="C33" s="28" t="s">
        <v>37</v>
      </c>
      <c r="D33" s="28" t="s">
        <v>38</v>
      </c>
      <c r="E33" s="29">
        <v>7048</v>
      </c>
      <c r="F33" s="30">
        <v>44927</v>
      </c>
      <c r="G33" s="31">
        <f>E33*$N$33</f>
        <v>563.84</v>
      </c>
      <c r="H33" s="32">
        <f>E33-G33</f>
        <v>6484.16</v>
      </c>
      <c r="M33" s="9" t="s">
        <v>96</v>
      </c>
      <c r="N33" s="8">
        <v>0.08</v>
      </c>
    </row>
    <row r="34" spans="1:14" ht="21" x14ac:dyDescent="0.4">
      <c r="A34" s="28">
        <v>2002</v>
      </c>
      <c r="B34" s="28" t="s">
        <v>39</v>
      </c>
      <c r="C34" s="28" t="s">
        <v>40</v>
      </c>
      <c r="D34" s="28" t="s">
        <v>41</v>
      </c>
      <c r="E34" s="29">
        <v>17428</v>
      </c>
      <c r="F34" s="30">
        <v>44942</v>
      </c>
      <c r="G34" s="31">
        <f t="shared" ref="G34:G52" si="0">E34*$N$33</f>
        <v>1394.24</v>
      </c>
      <c r="H34" s="32">
        <f t="shared" ref="H34:H52" si="1">E34-G34</f>
        <v>16033.76</v>
      </c>
    </row>
    <row r="35" spans="1:14" ht="21" x14ac:dyDescent="0.4">
      <c r="A35" s="28">
        <v>2003</v>
      </c>
      <c r="B35" s="28" t="s">
        <v>42</v>
      </c>
      <c r="C35" s="28" t="s">
        <v>37</v>
      </c>
      <c r="D35" s="28" t="s">
        <v>43</v>
      </c>
      <c r="E35" s="29">
        <v>23672</v>
      </c>
      <c r="F35" s="30">
        <v>44957</v>
      </c>
      <c r="G35" s="31">
        <f t="shared" si="0"/>
        <v>1893.76</v>
      </c>
      <c r="H35" s="32">
        <f t="shared" si="1"/>
        <v>21778.240000000002</v>
      </c>
    </row>
    <row r="36" spans="1:14" ht="21" x14ac:dyDescent="0.4">
      <c r="A36" s="28">
        <v>2004</v>
      </c>
      <c r="B36" s="28" t="s">
        <v>39</v>
      </c>
      <c r="C36" s="28" t="s">
        <v>44</v>
      </c>
      <c r="D36" s="28" t="s">
        <v>45</v>
      </c>
      <c r="E36" s="29">
        <v>5264</v>
      </c>
      <c r="F36" s="30">
        <v>44972</v>
      </c>
      <c r="G36" s="31">
        <f t="shared" si="0"/>
        <v>421.12</v>
      </c>
      <c r="H36" s="32">
        <f t="shared" si="1"/>
        <v>4842.88</v>
      </c>
    </row>
    <row r="37" spans="1:14" ht="21" x14ac:dyDescent="0.4">
      <c r="A37" s="28">
        <v>2005</v>
      </c>
      <c r="B37" s="28" t="s">
        <v>36</v>
      </c>
      <c r="C37" s="28" t="s">
        <v>46</v>
      </c>
      <c r="D37" s="28" t="s">
        <v>47</v>
      </c>
      <c r="E37" s="29">
        <v>43388</v>
      </c>
      <c r="F37" s="30">
        <v>44987</v>
      </c>
      <c r="G37" s="31">
        <f t="shared" si="0"/>
        <v>3471.04</v>
      </c>
      <c r="H37" s="32">
        <f t="shared" si="1"/>
        <v>39916.959999999999</v>
      </c>
    </row>
    <row r="38" spans="1:14" ht="21" x14ac:dyDescent="0.4">
      <c r="A38" s="28">
        <v>2006</v>
      </c>
      <c r="B38" s="28" t="s">
        <v>42</v>
      </c>
      <c r="C38" s="28" t="s">
        <v>46</v>
      </c>
      <c r="D38" s="28" t="s">
        <v>48</v>
      </c>
      <c r="E38" s="29">
        <v>19757</v>
      </c>
      <c r="F38" s="30">
        <v>45002</v>
      </c>
      <c r="G38" s="31">
        <f t="shared" si="0"/>
        <v>1580.56</v>
      </c>
      <c r="H38" s="32">
        <f t="shared" si="1"/>
        <v>18176.439999999999</v>
      </c>
    </row>
    <row r="39" spans="1:14" ht="21" x14ac:dyDescent="0.4">
      <c r="A39" s="28">
        <v>2007</v>
      </c>
      <c r="B39" s="28" t="s">
        <v>42</v>
      </c>
      <c r="C39" s="28" t="s">
        <v>44</v>
      </c>
      <c r="D39" s="28" t="s">
        <v>49</v>
      </c>
      <c r="E39" s="29">
        <v>32058</v>
      </c>
      <c r="F39" s="30">
        <v>45017</v>
      </c>
      <c r="G39" s="31">
        <f t="shared" si="0"/>
        <v>2564.64</v>
      </c>
      <c r="H39" s="32">
        <f t="shared" si="1"/>
        <v>29493.360000000001</v>
      </c>
    </row>
    <row r="40" spans="1:14" ht="21" x14ac:dyDescent="0.4">
      <c r="A40" s="28">
        <v>2008</v>
      </c>
      <c r="B40" s="28" t="s">
        <v>36</v>
      </c>
      <c r="C40" s="28" t="s">
        <v>44</v>
      </c>
      <c r="D40" s="28" t="s">
        <v>50</v>
      </c>
      <c r="E40" s="29">
        <v>46429</v>
      </c>
      <c r="F40" s="30">
        <v>45032</v>
      </c>
      <c r="G40" s="31">
        <f t="shared" si="0"/>
        <v>3714.32</v>
      </c>
      <c r="H40" s="32">
        <f t="shared" si="1"/>
        <v>42714.68</v>
      </c>
    </row>
    <row r="41" spans="1:14" ht="21" x14ac:dyDescent="0.4">
      <c r="A41" s="28">
        <v>2009</v>
      </c>
      <c r="B41" s="28" t="s">
        <v>39</v>
      </c>
      <c r="C41" s="28" t="s">
        <v>44</v>
      </c>
      <c r="D41" s="28" t="s">
        <v>51</v>
      </c>
      <c r="E41" s="29">
        <v>19746</v>
      </c>
      <c r="F41" s="30">
        <v>45047</v>
      </c>
      <c r="G41" s="31">
        <f t="shared" si="0"/>
        <v>1579.68</v>
      </c>
      <c r="H41" s="32">
        <f t="shared" si="1"/>
        <v>18166.32</v>
      </c>
    </row>
    <row r="42" spans="1:14" ht="21" x14ac:dyDescent="0.4">
      <c r="A42" s="28">
        <v>2010</v>
      </c>
      <c r="B42" s="28" t="s">
        <v>36</v>
      </c>
      <c r="C42" s="28" t="s">
        <v>37</v>
      </c>
      <c r="D42" s="28" t="s">
        <v>52</v>
      </c>
      <c r="E42" s="29">
        <v>35185</v>
      </c>
      <c r="F42" s="30">
        <v>45062</v>
      </c>
      <c r="G42" s="31">
        <f t="shared" si="0"/>
        <v>2814.8</v>
      </c>
      <c r="H42" s="32">
        <f t="shared" si="1"/>
        <v>32370.2</v>
      </c>
    </row>
    <row r="43" spans="1:14" ht="21" x14ac:dyDescent="0.4">
      <c r="A43" s="28">
        <v>2011</v>
      </c>
      <c r="B43" s="28" t="s">
        <v>36</v>
      </c>
      <c r="C43" s="28" t="s">
        <v>44</v>
      </c>
      <c r="D43" s="28" t="s">
        <v>53</v>
      </c>
      <c r="E43" s="29">
        <v>33920</v>
      </c>
      <c r="F43" s="30">
        <v>45077</v>
      </c>
      <c r="G43" s="31">
        <f t="shared" si="0"/>
        <v>2713.6</v>
      </c>
      <c r="H43" s="32">
        <f t="shared" si="1"/>
        <v>31206.400000000001</v>
      </c>
    </row>
    <row r="44" spans="1:14" ht="21" x14ac:dyDescent="0.4">
      <c r="A44" s="28">
        <v>2012</v>
      </c>
      <c r="B44" s="28" t="s">
        <v>54</v>
      </c>
      <c r="C44" s="28" t="s">
        <v>46</v>
      </c>
      <c r="D44" s="28" t="s">
        <v>55</v>
      </c>
      <c r="E44" s="29">
        <v>35611</v>
      </c>
      <c r="F44" s="30">
        <v>45092</v>
      </c>
      <c r="G44" s="31">
        <f t="shared" si="0"/>
        <v>2848.88</v>
      </c>
      <c r="H44" s="32">
        <f t="shared" si="1"/>
        <v>32762.12</v>
      </c>
    </row>
    <row r="45" spans="1:14" ht="21" x14ac:dyDescent="0.4">
      <c r="A45" s="28">
        <v>2013</v>
      </c>
      <c r="B45" s="28" t="s">
        <v>56</v>
      </c>
      <c r="C45" s="28" t="s">
        <v>44</v>
      </c>
      <c r="D45" s="28" t="s">
        <v>57</v>
      </c>
      <c r="E45" s="29">
        <v>15560</v>
      </c>
      <c r="F45" s="30">
        <v>45107</v>
      </c>
      <c r="G45" s="31">
        <f t="shared" si="0"/>
        <v>1244.8</v>
      </c>
      <c r="H45" s="32">
        <f t="shared" si="1"/>
        <v>14315.2</v>
      </c>
    </row>
    <row r="46" spans="1:14" ht="21" x14ac:dyDescent="0.4">
      <c r="A46" s="28">
        <v>2014</v>
      </c>
      <c r="B46" s="28" t="s">
        <v>56</v>
      </c>
      <c r="C46" s="28" t="s">
        <v>37</v>
      </c>
      <c r="D46" s="28" t="s">
        <v>58</v>
      </c>
      <c r="E46" s="29">
        <v>7283</v>
      </c>
      <c r="F46" s="30">
        <v>45122</v>
      </c>
      <c r="G46" s="31">
        <f t="shared" si="0"/>
        <v>582.64</v>
      </c>
      <c r="H46" s="32">
        <f t="shared" si="1"/>
        <v>6700.36</v>
      </c>
    </row>
    <row r="47" spans="1:14" ht="21" x14ac:dyDescent="0.4">
      <c r="A47" s="28">
        <v>2015</v>
      </c>
      <c r="B47" s="28" t="s">
        <v>56</v>
      </c>
      <c r="C47" s="28" t="s">
        <v>44</v>
      </c>
      <c r="D47" s="28" t="s">
        <v>59</v>
      </c>
      <c r="E47" s="29">
        <v>15678</v>
      </c>
      <c r="F47" s="30">
        <v>45137</v>
      </c>
      <c r="G47" s="31">
        <f t="shared" si="0"/>
        <v>1254.24</v>
      </c>
      <c r="H47" s="32">
        <f t="shared" si="1"/>
        <v>14423.76</v>
      </c>
    </row>
    <row r="48" spans="1:14" ht="21" x14ac:dyDescent="0.4">
      <c r="A48" s="28">
        <v>2016</v>
      </c>
      <c r="B48" s="28" t="s">
        <v>42</v>
      </c>
      <c r="C48" s="28" t="s">
        <v>44</v>
      </c>
      <c r="D48" s="28" t="s">
        <v>60</v>
      </c>
      <c r="E48" s="29">
        <v>5277</v>
      </c>
      <c r="F48" s="30">
        <v>45152</v>
      </c>
      <c r="G48" s="31">
        <f t="shared" si="0"/>
        <v>422.16</v>
      </c>
      <c r="H48" s="32">
        <f t="shared" si="1"/>
        <v>4854.84</v>
      </c>
    </row>
    <row r="49" spans="1:8" ht="21" x14ac:dyDescent="0.4">
      <c r="A49" s="28">
        <v>2017</v>
      </c>
      <c r="B49" s="28" t="s">
        <v>54</v>
      </c>
      <c r="C49" s="28" t="s">
        <v>46</v>
      </c>
      <c r="D49" s="28" t="s">
        <v>61</v>
      </c>
      <c r="E49" s="29">
        <v>41871</v>
      </c>
      <c r="F49" s="30">
        <v>45167</v>
      </c>
      <c r="G49" s="31">
        <f t="shared" si="0"/>
        <v>3349.6800000000003</v>
      </c>
      <c r="H49" s="32">
        <f t="shared" si="1"/>
        <v>38521.32</v>
      </c>
    </row>
    <row r="50" spans="1:8" ht="21" x14ac:dyDescent="0.4">
      <c r="A50" s="28">
        <v>2018</v>
      </c>
      <c r="B50" s="28" t="s">
        <v>54</v>
      </c>
      <c r="C50" s="28" t="s">
        <v>40</v>
      </c>
      <c r="D50" s="28" t="s">
        <v>62</v>
      </c>
      <c r="E50" s="29">
        <v>38161</v>
      </c>
      <c r="F50" s="30">
        <v>45182</v>
      </c>
      <c r="G50" s="31">
        <f t="shared" si="0"/>
        <v>3052.88</v>
      </c>
      <c r="H50" s="32">
        <f t="shared" si="1"/>
        <v>35108.120000000003</v>
      </c>
    </row>
    <row r="51" spans="1:8" ht="21" x14ac:dyDescent="0.4">
      <c r="A51" s="28">
        <v>2019</v>
      </c>
      <c r="B51" s="28" t="s">
        <v>42</v>
      </c>
      <c r="C51" s="28" t="s">
        <v>40</v>
      </c>
      <c r="D51" s="28" t="s">
        <v>63</v>
      </c>
      <c r="E51" s="29">
        <v>30436</v>
      </c>
      <c r="F51" s="30">
        <v>45197</v>
      </c>
      <c r="G51" s="31">
        <f t="shared" si="0"/>
        <v>2434.88</v>
      </c>
      <c r="H51" s="32">
        <f t="shared" si="1"/>
        <v>28001.119999999999</v>
      </c>
    </row>
    <row r="52" spans="1:8" ht="21" x14ac:dyDescent="0.4">
      <c r="A52" s="28">
        <v>2020</v>
      </c>
      <c r="B52" s="28" t="s">
        <v>39</v>
      </c>
      <c r="C52" s="28" t="s">
        <v>40</v>
      </c>
      <c r="D52" s="28" t="s">
        <v>64</v>
      </c>
      <c r="E52" s="29">
        <v>33953</v>
      </c>
      <c r="F52" s="30">
        <v>45212</v>
      </c>
      <c r="G52" s="31">
        <f t="shared" si="0"/>
        <v>2716.2400000000002</v>
      </c>
      <c r="H52" s="32">
        <f t="shared" si="1"/>
        <v>31236.76</v>
      </c>
    </row>
    <row r="54" spans="1:8" ht="23.4" x14ac:dyDescent="0.3">
      <c r="A54" s="78" t="s">
        <v>97</v>
      </c>
      <c r="B54" s="79"/>
      <c r="C54" s="79"/>
      <c r="D54" s="79"/>
      <c r="E54" s="79"/>
      <c r="F54" s="79"/>
      <c r="G54" s="80"/>
    </row>
    <row r="55" spans="1:8" ht="23.4" x14ac:dyDescent="0.3">
      <c r="A55" s="72" t="s">
        <v>98</v>
      </c>
      <c r="B55" s="72"/>
      <c r="C55" s="72"/>
      <c r="D55" s="72"/>
      <c r="E55" s="72"/>
      <c r="F55" s="72"/>
      <c r="G55" s="81"/>
    </row>
    <row r="57" spans="1:8" ht="23.4" x14ac:dyDescent="0.3">
      <c r="A57" s="35" t="s">
        <v>4</v>
      </c>
      <c r="B57" s="35" t="s">
        <v>5</v>
      </c>
      <c r="C57" s="35" t="s">
        <v>6</v>
      </c>
      <c r="D57" s="35" t="s">
        <v>7</v>
      </c>
      <c r="E57" s="35" t="s">
        <v>8</v>
      </c>
      <c r="F57" s="35" t="s">
        <v>9</v>
      </c>
      <c r="G57" s="35" t="s">
        <v>99</v>
      </c>
      <c r="H57" s="35" t="s">
        <v>100</v>
      </c>
    </row>
    <row r="58" spans="1:8" ht="23.4" x14ac:dyDescent="0.3">
      <c r="A58" s="36">
        <v>1001</v>
      </c>
      <c r="B58" s="36" t="s">
        <v>10</v>
      </c>
      <c r="C58" s="36">
        <v>61</v>
      </c>
      <c r="D58" s="36">
        <v>48</v>
      </c>
      <c r="E58" s="36">
        <v>76</v>
      </c>
      <c r="F58" s="37">
        <v>43101</v>
      </c>
      <c r="G58" s="38">
        <f>C58+D58+E58</f>
        <v>185</v>
      </c>
      <c r="H58" s="38" t="str">
        <f>IF(G58&gt;=220,"A",IF(G58&gt;=200,"B",IF(G58&gt;=180,"C","Fail")))</f>
        <v>C</v>
      </c>
    </row>
    <row r="59" spans="1:8" ht="23.4" x14ac:dyDescent="0.3">
      <c r="A59" s="36">
        <v>1002</v>
      </c>
      <c r="B59" s="36" t="s">
        <v>11</v>
      </c>
      <c r="C59" s="36">
        <v>78</v>
      </c>
      <c r="D59" s="36">
        <v>76</v>
      </c>
      <c r="E59" s="36">
        <v>70</v>
      </c>
      <c r="F59" s="37">
        <v>43281</v>
      </c>
      <c r="G59" s="38">
        <f t="shared" ref="G59:G77" si="2">C59+D59+E59</f>
        <v>224</v>
      </c>
      <c r="H59" s="38" t="str">
        <f t="shared" ref="H59:H77" si="3">IF(G59&gt;=220,"A",IF(G59&gt;=200,"B",IF(G59&gt;=180,"C","Fail")))</f>
        <v>A</v>
      </c>
    </row>
    <row r="60" spans="1:8" ht="23.4" x14ac:dyDescent="0.3">
      <c r="A60" s="36">
        <v>1003</v>
      </c>
      <c r="B60" s="36" t="s">
        <v>12</v>
      </c>
      <c r="C60" s="36">
        <v>97</v>
      </c>
      <c r="D60" s="36">
        <v>60</v>
      </c>
      <c r="E60" s="36">
        <v>51</v>
      </c>
      <c r="F60" s="37">
        <v>43461</v>
      </c>
      <c r="G60" s="38">
        <f t="shared" si="2"/>
        <v>208</v>
      </c>
      <c r="H60" s="38" t="str">
        <f t="shared" si="3"/>
        <v>B</v>
      </c>
    </row>
    <row r="61" spans="1:8" ht="23.4" x14ac:dyDescent="0.3">
      <c r="A61" s="36">
        <v>1004</v>
      </c>
      <c r="B61" s="36" t="s">
        <v>13</v>
      </c>
      <c r="C61" s="36">
        <v>74</v>
      </c>
      <c r="D61" s="36">
        <v>55</v>
      </c>
      <c r="E61" s="36">
        <v>46</v>
      </c>
      <c r="F61" s="37">
        <v>43641</v>
      </c>
      <c r="G61" s="38">
        <f t="shared" si="2"/>
        <v>175</v>
      </c>
      <c r="H61" s="38" t="str">
        <f t="shared" si="3"/>
        <v>Fail</v>
      </c>
    </row>
    <row r="62" spans="1:8" ht="23.4" x14ac:dyDescent="0.3">
      <c r="A62" s="36">
        <v>1005</v>
      </c>
      <c r="B62" s="36" t="s">
        <v>14</v>
      </c>
      <c r="C62" s="36">
        <v>68</v>
      </c>
      <c r="D62" s="36">
        <v>74</v>
      </c>
      <c r="E62" s="36">
        <v>84</v>
      </c>
      <c r="F62" s="37">
        <v>43821</v>
      </c>
      <c r="G62" s="38">
        <f t="shared" si="2"/>
        <v>226</v>
      </c>
      <c r="H62" s="38" t="str">
        <f t="shared" si="3"/>
        <v>A</v>
      </c>
    </row>
    <row r="63" spans="1:8" ht="23.4" x14ac:dyDescent="0.3">
      <c r="A63" s="36">
        <v>1006</v>
      </c>
      <c r="B63" s="36" t="s">
        <v>15</v>
      </c>
      <c r="C63" s="36">
        <v>80</v>
      </c>
      <c r="D63" s="36">
        <v>70</v>
      </c>
      <c r="E63" s="36">
        <v>65</v>
      </c>
      <c r="F63" s="37">
        <v>44001</v>
      </c>
      <c r="G63" s="38">
        <f t="shared" si="2"/>
        <v>215</v>
      </c>
      <c r="H63" s="38" t="str">
        <f t="shared" si="3"/>
        <v>B</v>
      </c>
    </row>
    <row r="64" spans="1:8" ht="23.4" x14ac:dyDescent="0.3">
      <c r="A64" s="36">
        <v>1007</v>
      </c>
      <c r="B64" s="36" t="s">
        <v>16</v>
      </c>
      <c r="C64" s="36">
        <v>75</v>
      </c>
      <c r="D64" s="36">
        <v>47</v>
      </c>
      <c r="E64" s="36">
        <v>78</v>
      </c>
      <c r="F64" s="37">
        <v>44181</v>
      </c>
      <c r="G64" s="38">
        <f t="shared" si="2"/>
        <v>200</v>
      </c>
      <c r="H64" s="38" t="str">
        <f t="shared" si="3"/>
        <v>B</v>
      </c>
    </row>
    <row r="65" spans="1:8" ht="23.4" x14ac:dyDescent="0.3">
      <c r="A65" s="36">
        <v>1008</v>
      </c>
      <c r="B65" s="36" t="s">
        <v>17</v>
      </c>
      <c r="C65" s="36">
        <v>94</v>
      </c>
      <c r="D65" s="36">
        <v>67</v>
      </c>
      <c r="E65" s="36">
        <v>64</v>
      </c>
      <c r="F65" s="37">
        <v>44361</v>
      </c>
      <c r="G65" s="38">
        <f t="shared" si="2"/>
        <v>225</v>
      </c>
      <c r="H65" s="38" t="str">
        <f t="shared" si="3"/>
        <v>A</v>
      </c>
    </row>
    <row r="66" spans="1:8" ht="23.4" x14ac:dyDescent="0.3">
      <c r="A66" s="36">
        <v>1009</v>
      </c>
      <c r="B66" s="36" t="s">
        <v>18</v>
      </c>
      <c r="C66" s="36">
        <v>41</v>
      </c>
      <c r="D66" s="36">
        <v>75</v>
      </c>
      <c r="E66" s="36">
        <v>56</v>
      </c>
      <c r="F66" s="37">
        <v>44541</v>
      </c>
      <c r="G66" s="38">
        <f t="shared" si="2"/>
        <v>172</v>
      </c>
      <c r="H66" s="38" t="str">
        <f t="shared" si="3"/>
        <v>Fail</v>
      </c>
    </row>
    <row r="67" spans="1:8" ht="23.4" x14ac:dyDescent="0.3">
      <c r="A67" s="36">
        <v>1010</v>
      </c>
      <c r="B67" s="36" t="s">
        <v>19</v>
      </c>
      <c r="C67" s="36">
        <v>98</v>
      </c>
      <c r="D67" s="36">
        <v>54</v>
      </c>
      <c r="E67" s="36">
        <v>58</v>
      </c>
      <c r="F67" s="37">
        <v>44721</v>
      </c>
      <c r="G67" s="38">
        <f t="shared" si="2"/>
        <v>210</v>
      </c>
      <c r="H67" s="38" t="str">
        <f t="shared" si="3"/>
        <v>B</v>
      </c>
    </row>
    <row r="68" spans="1:8" ht="23.4" x14ac:dyDescent="0.3">
      <c r="A68" s="36">
        <v>1011</v>
      </c>
      <c r="B68" s="36" t="s">
        <v>20</v>
      </c>
      <c r="C68" s="36">
        <v>73</v>
      </c>
      <c r="D68" s="36">
        <v>79</v>
      </c>
      <c r="E68" s="36">
        <v>53</v>
      </c>
      <c r="F68" s="37">
        <v>44901</v>
      </c>
      <c r="G68" s="38">
        <f t="shared" si="2"/>
        <v>205</v>
      </c>
      <c r="H68" s="38" t="str">
        <f t="shared" si="3"/>
        <v>B</v>
      </c>
    </row>
    <row r="69" spans="1:8" ht="23.4" x14ac:dyDescent="0.3">
      <c r="A69" s="36">
        <v>1012</v>
      </c>
      <c r="B69" s="36" t="s">
        <v>21</v>
      </c>
      <c r="C69" s="36">
        <v>85</v>
      </c>
      <c r="D69" s="36">
        <v>89</v>
      </c>
      <c r="E69" s="36">
        <v>79</v>
      </c>
      <c r="F69" s="37">
        <v>45081</v>
      </c>
      <c r="G69" s="38">
        <f t="shared" si="2"/>
        <v>253</v>
      </c>
      <c r="H69" s="38" t="str">
        <f t="shared" si="3"/>
        <v>A</v>
      </c>
    </row>
    <row r="70" spans="1:8" ht="23.4" x14ac:dyDescent="0.3">
      <c r="A70" s="36">
        <v>1013</v>
      </c>
      <c r="B70" s="36" t="s">
        <v>22</v>
      </c>
      <c r="C70" s="36">
        <v>98</v>
      </c>
      <c r="D70" s="36">
        <v>90</v>
      </c>
      <c r="E70" s="36">
        <v>97</v>
      </c>
      <c r="F70" s="37">
        <v>45261</v>
      </c>
      <c r="G70" s="38">
        <f t="shared" si="2"/>
        <v>285</v>
      </c>
      <c r="H70" s="38" t="str">
        <f t="shared" si="3"/>
        <v>A</v>
      </c>
    </row>
    <row r="71" spans="1:8" ht="23.4" x14ac:dyDescent="0.3">
      <c r="A71" s="36">
        <v>1014</v>
      </c>
      <c r="B71" s="36" t="s">
        <v>23</v>
      </c>
      <c r="C71" s="36">
        <v>93</v>
      </c>
      <c r="D71" s="36">
        <v>40</v>
      </c>
      <c r="E71" s="36">
        <v>44</v>
      </c>
      <c r="F71" s="37">
        <v>45441</v>
      </c>
      <c r="G71" s="38">
        <f t="shared" si="2"/>
        <v>177</v>
      </c>
      <c r="H71" s="38" t="str">
        <f t="shared" si="3"/>
        <v>Fail</v>
      </c>
    </row>
    <row r="72" spans="1:8" ht="23.4" x14ac:dyDescent="0.3">
      <c r="A72" s="36">
        <v>1015</v>
      </c>
      <c r="B72" s="36" t="s">
        <v>24</v>
      </c>
      <c r="C72" s="36">
        <v>70</v>
      </c>
      <c r="D72" s="36">
        <v>51</v>
      </c>
      <c r="E72" s="36">
        <v>75</v>
      </c>
      <c r="F72" s="37">
        <v>45621</v>
      </c>
      <c r="G72" s="38">
        <f t="shared" si="2"/>
        <v>196</v>
      </c>
      <c r="H72" s="38" t="str">
        <f t="shared" si="3"/>
        <v>C</v>
      </c>
    </row>
    <row r="73" spans="1:8" ht="23.4" x14ac:dyDescent="0.3">
      <c r="A73" s="36">
        <v>1016</v>
      </c>
      <c r="B73" s="36" t="s">
        <v>25</v>
      </c>
      <c r="C73" s="36">
        <v>98</v>
      </c>
      <c r="D73" s="36">
        <v>77</v>
      </c>
      <c r="E73" s="36">
        <v>60</v>
      </c>
      <c r="F73" s="37">
        <v>45801</v>
      </c>
      <c r="G73" s="38">
        <f t="shared" si="2"/>
        <v>235</v>
      </c>
      <c r="H73" s="38" t="str">
        <f t="shared" si="3"/>
        <v>A</v>
      </c>
    </row>
    <row r="74" spans="1:8" ht="23.4" x14ac:dyDescent="0.3">
      <c r="A74" s="36">
        <v>1017</v>
      </c>
      <c r="B74" s="36" t="s">
        <v>26</v>
      </c>
      <c r="C74" s="36">
        <v>66</v>
      </c>
      <c r="D74" s="36">
        <v>59</v>
      </c>
      <c r="E74" s="36">
        <v>40</v>
      </c>
      <c r="F74" s="37">
        <v>45981</v>
      </c>
      <c r="G74" s="38">
        <f t="shared" si="2"/>
        <v>165</v>
      </c>
      <c r="H74" s="38" t="str">
        <f t="shared" si="3"/>
        <v>Fail</v>
      </c>
    </row>
    <row r="75" spans="1:8" ht="23.4" x14ac:dyDescent="0.3">
      <c r="A75" s="36">
        <v>1018</v>
      </c>
      <c r="B75" s="36" t="s">
        <v>27</v>
      </c>
      <c r="C75" s="36">
        <v>82</v>
      </c>
      <c r="D75" s="36">
        <v>48</v>
      </c>
      <c r="E75" s="36">
        <v>79</v>
      </c>
      <c r="F75" s="37">
        <v>46161</v>
      </c>
      <c r="G75" s="38">
        <f t="shared" si="2"/>
        <v>209</v>
      </c>
      <c r="H75" s="38" t="str">
        <f t="shared" si="3"/>
        <v>B</v>
      </c>
    </row>
    <row r="76" spans="1:8" ht="23.4" x14ac:dyDescent="0.3">
      <c r="A76" s="36">
        <v>1019</v>
      </c>
      <c r="B76" s="36" t="s">
        <v>28</v>
      </c>
      <c r="C76" s="36">
        <v>90</v>
      </c>
      <c r="D76" s="36">
        <v>78</v>
      </c>
      <c r="E76" s="36">
        <v>60</v>
      </c>
      <c r="F76" s="37">
        <v>46341</v>
      </c>
      <c r="G76" s="38">
        <f t="shared" si="2"/>
        <v>228</v>
      </c>
      <c r="H76" s="38" t="str">
        <f t="shared" si="3"/>
        <v>A</v>
      </c>
    </row>
    <row r="77" spans="1:8" ht="23.4" x14ac:dyDescent="0.3">
      <c r="A77" s="36">
        <v>1020</v>
      </c>
      <c r="B77" s="36" t="s">
        <v>29</v>
      </c>
      <c r="C77" s="36">
        <v>83</v>
      </c>
      <c r="D77" s="36">
        <v>92</v>
      </c>
      <c r="E77" s="36">
        <v>55</v>
      </c>
      <c r="F77" s="37">
        <v>46521</v>
      </c>
      <c r="G77" s="38">
        <f t="shared" si="2"/>
        <v>230</v>
      </c>
      <c r="H77" s="38" t="str">
        <f t="shared" si="3"/>
        <v>A</v>
      </c>
    </row>
    <row r="79" spans="1:8" ht="23.4" x14ac:dyDescent="0.3">
      <c r="A79" s="72" t="s">
        <v>101</v>
      </c>
      <c r="B79" s="72"/>
      <c r="C79" s="72"/>
      <c r="D79" s="72"/>
      <c r="E79" s="72"/>
      <c r="F79" s="72"/>
      <c r="G79" s="81"/>
    </row>
    <row r="81" spans="1:9" ht="23.4" x14ac:dyDescent="0.3">
      <c r="A81" s="35" t="s">
        <v>30</v>
      </c>
      <c r="B81" s="35" t="s">
        <v>31</v>
      </c>
      <c r="C81" s="35" t="s">
        <v>32</v>
      </c>
      <c r="D81" s="35" t="s">
        <v>33</v>
      </c>
      <c r="E81" s="35" t="s">
        <v>34</v>
      </c>
      <c r="F81" s="35" t="s">
        <v>35</v>
      </c>
      <c r="G81" s="35" t="s">
        <v>102</v>
      </c>
      <c r="H81" s="35" t="s">
        <v>94</v>
      </c>
      <c r="I81" s="35" t="s">
        <v>95</v>
      </c>
    </row>
    <row r="82" spans="1:9" ht="23.4" x14ac:dyDescent="0.3">
      <c r="A82" s="36">
        <v>2001</v>
      </c>
      <c r="B82" s="36" t="s">
        <v>36</v>
      </c>
      <c r="C82" s="36" t="s">
        <v>37</v>
      </c>
      <c r="D82" s="36" t="s">
        <v>38</v>
      </c>
      <c r="E82" s="36">
        <v>7048</v>
      </c>
      <c r="F82" s="37">
        <v>44927</v>
      </c>
      <c r="G82" s="39">
        <f>IF(E82&gt;=40000,12%,IF(E82&gt;=30000,10%,IF(E82&gt;=25000,5%,2%)))</f>
        <v>0.02</v>
      </c>
      <c r="H82" s="38">
        <f>E82*G82</f>
        <v>140.96</v>
      </c>
      <c r="I82" s="38">
        <f>E82-H82</f>
        <v>6907.04</v>
      </c>
    </row>
    <row r="83" spans="1:9" ht="23.4" x14ac:dyDescent="0.3">
      <c r="A83" s="36">
        <v>2002</v>
      </c>
      <c r="B83" s="36" t="s">
        <v>39</v>
      </c>
      <c r="C83" s="36" t="s">
        <v>40</v>
      </c>
      <c r="D83" s="36" t="s">
        <v>41</v>
      </c>
      <c r="E83" s="36">
        <v>17428</v>
      </c>
      <c r="F83" s="37">
        <v>44942</v>
      </c>
      <c r="G83" s="39">
        <f t="shared" ref="G83:G101" si="4">IF(E83&gt;=40000,12%,IF(E83&gt;=30000,10%,IF(E83&gt;=25000,5%,2%)))</f>
        <v>0.02</v>
      </c>
      <c r="H83" s="38">
        <f t="shared" ref="H83:H101" si="5">E83*G83</f>
        <v>348.56</v>
      </c>
      <c r="I83" s="38">
        <f t="shared" ref="I83:I101" si="6">E83-H83</f>
        <v>17079.439999999999</v>
      </c>
    </row>
    <row r="84" spans="1:9" ht="23.4" x14ac:dyDescent="0.3">
      <c r="A84" s="36">
        <v>2003</v>
      </c>
      <c r="B84" s="36" t="s">
        <v>42</v>
      </c>
      <c r="C84" s="36" t="s">
        <v>37</v>
      </c>
      <c r="D84" s="36" t="s">
        <v>43</v>
      </c>
      <c r="E84" s="36">
        <v>23672</v>
      </c>
      <c r="F84" s="37">
        <v>44957</v>
      </c>
      <c r="G84" s="39">
        <f t="shared" si="4"/>
        <v>0.02</v>
      </c>
      <c r="H84" s="38">
        <f t="shared" si="5"/>
        <v>473.44</v>
      </c>
      <c r="I84" s="38">
        <f t="shared" si="6"/>
        <v>23198.560000000001</v>
      </c>
    </row>
    <row r="85" spans="1:9" ht="23.4" x14ac:dyDescent="0.3">
      <c r="A85" s="36">
        <v>2004</v>
      </c>
      <c r="B85" s="36" t="s">
        <v>39</v>
      </c>
      <c r="C85" s="36" t="s">
        <v>44</v>
      </c>
      <c r="D85" s="36" t="s">
        <v>45</v>
      </c>
      <c r="E85" s="36">
        <v>5264</v>
      </c>
      <c r="F85" s="37">
        <v>44972</v>
      </c>
      <c r="G85" s="39">
        <f t="shared" si="4"/>
        <v>0.02</v>
      </c>
      <c r="H85" s="38">
        <f t="shared" si="5"/>
        <v>105.28</v>
      </c>
      <c r="I85" s="38">
        <f t="shared" si="6"/>
        <v>5158.72</v>
      </c>
    </row>
    <row r="86" spans="1:9" ht="23.4" x14ac:dyDescent="0.3">
      <c r="A86" s="36">
        <v>2005</v>
      </c>
      <c r="B86" s="36" t="s">
        <v>36</v>
      </c>
      <c r="C86" s="36" t="s">
        <v>46</v>
      </c>
      <c r="D86" s="36" t="s">
        <v>47</v>
      </c>
      <c r="E86" s="36">
        <v>43388</v>
      </c>
      <c r="F86" s="37">
        <v>44987</v>
      </c>
      <c r="G86" s="39">
        <f t="shared" si="4"/>
        <v>0.12</v>
      </c>
      <c r="H86" s="38">
        <f t="shared" si="5"/>
        <v>5206.5599999999995</v>
      </c>
      <c r="I86" s="38">
        <f t="shared" si="6"/>
        <v>38181.440000000002</v>
      </c>
    </row>
    <row r="87" spans="1:9" ht="23.4" x14ac:dyDescent="0.3">
      <c r="A87" s="36">
        <v>2006</v>
      </c>
      <c r="B87" s="36" t="s">
        <v>42</v>
      </c>
      <c r="C87" s="36" t="s">
        <v>46</v>
      </c>
      <c r="D87" s="36" t="s">
        <v>48</v>
      </c>
      <c r="E87" s="36">
        <v>19757</v>
      </c>
      <c r="F87" s="37">
        <v>45002</v>
      </c>
      <c r="G87" s="39">
        <f t="shared" si="4"/>
        <v>0.02</v>
      </c>
      <c r="H87" s="38">
        <f t="shared" si="5"/>
        <v>395.14</v>
      </c>
      <c r="I87" s="38">
        <f t="shared" si="6"/>
        <v>19361.86</v>
      </c>
    </row>
    <row r="88" spans="1:9" ht="23.4" x14ac:dyDescent="0.3">
      <c r="A88" s="36">
        <v>2007</v>
      </c>
      <c r="B88" s="36" t="s">
        <v>42</v>
      </c>
      <c r="C88" s="36" t="s">
        <v>44</v>
      </c>
      <c r="D88" s="36" t="s">
        <v>49</v>
      </c>
      <c r="E88" s="36">
        <v>32058</v>
      </c>
      <c r="F88" s="37">
        <v>45017</v>
      </c>
      <c r="G88" s="39">
        <f t="shared" si="4"/>
        <v>0.1</v>
      </c>
      <c r="H88" s="38">
        <f t="shared" si="5"/>
        <v>3205.8</v>
      </c>
      <c r="I88" s="38">
        <f t="shared" si="6"/>
        <v>28852.2</v>
      </c>
    </row>
    <row r="89" spans="1:9" ht="23.4" x14ac:dyDescent="0.3">
      <c r="A89" s="36">
        <v>2008</v>
      </c>
      <c r="B89" s="36" t="s">
        <v>36</v>
      </c>
      <c r="C89" s="36" t="s">
        <v>44</v>
      </c>
      <c r="D89" s="36" t="s">
        <v>50</v>
      </c>
      <c r="E89" s="36">
        <v>46429</v>
      </c>
      <c r="F89" s="37">
        <v>45032</v>
      </c>
      <c r="G89" s="39">
        <f t="shared" si="4"/>
        <v>0.12</v>
      </c>
      <c r="H89" s="38">
        <f t="shared" si="5"/>
        <v>5571.48</v>
      </c>
      <c r="I89" s="38">
        <f t="shared" si="6"/>
        <v>40857.520000000004</v>
      </c>
    </row>
    <row r="90" spans="1:9" ht="23.4" x14ac:dyDescent="0.3">
      <c r="A90" s="36">
        <v>2009</v>
      </c>
      <c r="B90" s="36" t="s">
        <v>39</v>
      </c>
      <c r="C90" s="36" t="s">
        <v>44</v>
      </c>
      <c r="D90" s="36" t="s">
        <v>51</v>
      </c>
      <c r="E90" s="36">
        <v>19746</v>
      </c>
      <c r="F90" s="37">
        <v>45047</v>
      </c>
      <c r="G90" s="39">
        <f t="shared" si="4"/>
        <v>0.02</v>
      </c>
      <c r="H90" s="38">
        <f t="shared" si="5"/>
        <v>394.92</v>
      </c>
      <c r="I90" s="38">
        <f t="shared" si="6"/>
        <v>19351.080000000002</v>
      </c>
    </row>
    <row r="91" spans="1:9" ht="23.4" x14ac:dyDescent="0.3">
      <c r="A91" s="36">
        <v>2010</v>
      </c>
      <c r="B91" s="36" t="s">
        <v>36</v>
      </c>
      <c r="C91" s="36" t="s">
        <v>37</v>
      </c>
      <c r="D91" s="36" t="s">
        <v>52</v>
      </c>
      <c r="E91" s="36">
        <v>35185</v>
      </c>
      <c r="F91" s="37">
        <v>45062</v>
      </c>
      <c r="G91" s="39">
        <f t="shared" si="4"/>
        <v>0.1</v>
      </c>
      <c r="H91" s="38">
        <f t="shared" si="5"/>
        <v>3518.5</v>
      </c>
      <c r="I91" s="38">
        <f t="shared" si="6"/>
        <v>31666.5</v>
      </c>
    </row>
    <row r="92" spans="1:9" ht="23.4" x14ac:dyDescent="0.3">
      <c r="A92" s="36">
        <v>2011</v>
      </c>
      <c r="B92" s="36" t="s">
        <v>36</v>
      </c>
      <c r="C92" s="36" t="s">
        <v>44</v>
      </c>
      <c r="D92" s="36" t="s">
        <v>53</v>
      </c>
      <c r="E92" s="36">
        <v>33920</v>
      </c>
      <c r="F92" s="37">
        <v>45077</v>
      </c>
      <c r="G92" s="39">
        <f t="shared" si="4"/>
        <v>0.1</v>
      </c>
      <c r="H92" s="38">
        <f t="shared" si="5"/>
        <v>3392</v>
      </c>
      <c r="I92" s="38">
        <f t="shared" si="6"/>
        <v>30528</v>
      </c>
    </row>
    <row r="93" spans="1:9" ht="23.4" x14ac:dyDescent="0.3">
      <c r="A93" s="36">
        <v>2012</v>
      </c>
      <c r="B93" s="36" t="s">
        <v>54</v>
      </c>
      <c r="C93" s="36" t="s">
        <v>46</v>
      </c>
      <c r="D93" s="36" t="s">
        <v>55</v>
      </c>
      <c r="E93" s="36">
        <v>35611</v>
      </c>
      <c r="F93" s="37">
        <v>45092</v>
      </c>
      <c r="G93" s="39">
        <f t="shared" si="4"/>
        <v>0.1</v>
      </c>
      <c r="H93" s="38">
        <f t="shared" si="5"/>
        <v>3561.1000000000004</v>
      </c>
      <c r="I93" s="38">
        <f t="shared" si="6"/>
        <v>32049.9</v>
      </c>
    </row>
    <row r="94" spans="1:9" ht="23.4" x14ac:dyDescent="0.3">
      <c r="A94" s="36">
        <v>2013</v>
      </c>
      <c r="B94" s="36" t="s">
        <v>56</v>
      </c>
      <c r="C94" s="36" t="s">
        <v>44</v>
      </c>
      <c r="D94" s="36" t="s">
        <v>57</v>
      </c>
      <c r="E94" s="36">
        <v>15560</v>
      </c>
      <c r="F94" s="37">
        <v>45107</v>
      </c>
      <c r="G94" s="39">
        <f t="shared" si="4"/>
        <v>0.02</v>
      </c>
      <c r="H94" s="38">
        <f t="shared" si="5"/>
        <v>311.2</v>
      </c>
      <c r="I94" s="38">
        <f t="shared" si="6"/>
        <v>15248.8</v>
      </c>
    </row>
    <row r="95" spans="1:9" ht="23.4" x14ac:dyDescent="0.3">
      <c r="A95" s="36">
        <v>2014</v>
      </c>
      <c r="B95" s="36" t="s">
        <v>56</v>
      </c>
      <c r="C95" s="36" t="s">
        <v>37</v>
      </c>
      <c r="D95" s="36" t="s">
        <v>58</v>
      </c>
      <c r="E95" s="36">
        <v>7283</v>
      </c>
      <c r="F95" s="37">
        <v>45122</v>
      </c>
      <c r="G95" s="39">
        <f t="shared" si="4"/>
        <v>0.02</v>
      </c>
      <c r="H95" s="38">
        <f t="shared" si="5"/>
        <v>145.66</v>
      </c>
      <c r="I95" s="38">
        <f t="shared" si="6"/>
        <v>7137.34</v>
      </c>
    </row>
    <row r="96" spans="1:9" ht="23.4" x14ac:dyDescent="0.3">
      <c r="A96" s="36">
        <v>2015</v>
      </c>
      <c r="B96" s="36" t="s">
        <v>56</v>
      </c>
      <c r="C96" s="36" t="s">
        <v>44</v>
      </c>
      <c r="D96" s="36" t="s">
        <v>59</v>
      </c>
      <c r="E96" s="36">
        <v>15678</v>
      </c>
      <c r="F96" s="37">
        <v>45137</v>
      </c>
      <c r="G96" s="39">
        <f t="shared" si="4"/>
        <v>0.02</v>
      </c>
      <c r="H96" s="38">
        <f t="shared" si="5"/>
        <v>313.56</v>
      </c>
      <c r="I96" s="38">
        <f t="shared" si="6"/>
        <v>15364.44</v>
      </c>
    </row>
    <row r="97" spans="1:9" ht="23.4" x14ac:dyDescent="0.3">
      <c r="A97" s="36">
        <v>2016</v>
      </c>
      <c r="B97" s="36" t="s">
        <v>42</v>
      </c>
      <c r="C97" s="36" t="s">
        <v>44</v>
      </c>
      <c r="D97" s="36" t="s">
        <v>60</v>
      </c>
      <c r="E97" s="36">
        <v>5277</v>
      </c>
      <c r="F97" s="37">
        <v>45152</v>
      </c>
      <c r="G97" s="39">
        <f t="shared" si="4"/>
        <v>0.02</v>
      </c>
      <c r="H97" s="38">
        <f t="shared" si="5"/>
        <v>105.54</v>
      </c>
      <c r="I97" s="38">
        <f t="shared" si="6"/>
        <v>5171.46</v>
      </c>
    </row>
    <row r="98" spans="1:9" ht="23.4" x14ac:dyDescent="0.3">
      <c r="A98" s="36">
        <v>2017</v>
      </c>
      <c r="B98" s="36" t="s">
        <v>54</v>
      </c>
      <c r="C98" s="36" t="s">
        <v>46</v>
      </c>
      <c r="D98" s="36" t="s">
        <v>61</v>
      </c>
      <c r="E98" s="36">
        <v>41871</v>
      </c>
      <c r="F98" s="37">
        <v>45167</v>
      </c>
      <c r="G98" s="39">
        <f t="shared" si="4"/>
        <v>0.12</v>
      </c>
      <c r="H98" s="38">
        <f t="shared" si="5"/>
        <v>5024.5199999999995</v>
      </c>
      <c r="I98" s="38">
        <f t="shared" si="6"/>
        <v>36846.480000000003</v>
      </c>
    </row>
    <row r="99" spans="1:9" ht="23.4" x14ac:dyDescent="0.3">
      <c r="A99" s="36">
        <v>2018</v>
      </c>
      <c r="B99" s="36" t="s">
        <v>54</v>
      </c>
      <c r="C99" s="36" t="s">
        <v>40</v>
      </c>
      <c r="D99" s="36" t="s">
        <v>62</v>
      </c>
      <c r="E99" s="36">
        <v>38161</v>
      </c>
      <c r="F99" s="37">
        <v>45182</v>
      </c>
      <c r="G99" s="39">
        <f t="shared" si="4"/>
        <v>0.1</v>
      </c>
      <c r="H99" s="38">
        <f t="shared" si="5"/>
        <v>3816.1000000000004</v>
      </c>
      <c r="I99" s="38">
        <f t="shared" si="6"/>
        <v>34344.9</v>
      </c>
    </row>
    <row r="100" spans="1:9" ht="23.4" x14ac:dyDescent="0.3">
      <c r="A100" s="36">
        <v>2019</v>
      </c>
      <c r="B100" s="36" t="s">
        <v>42</v>
      </c>
      <c r="C100" s="36" t="s">
        <v>40</v>
      </c>
      <c r="D100" s="36" t="s">
        <v>63</v>
      </c>
      <c r="E100" s="36">
        <v>30436</v>
      </c>
      <c r="F100" s="37">
        <v>45197</v>
      </c>
      <c r="G100" s="39">
        <f t="shared" si="4"/>
        <v>0.1</v>
      </c>
      <c r="H100" s="38">
        <f t="shared" si="5"/>
        <v>3043.6000000000004</v>
      </c>
      <c r="I100" s="38">
        <f t="shared" si="6"/>
        <v>27392.400000000001</v>
      </c>
    </row>
    <row r="101" spans="1:9" ht="23.4" x14ac:dyDescent="0.3">
      <c r="A101" s="36">
        <v>2020</v>
      </c>
      <c r="B101" s="36" t="s">
        <v>39</v>
      </c>
      <c r="C101" s="36" t="s">
        <v>40</v>
      </c>
      <c r="D101" s="36" t="s">
        <v>64</v>
      </c>
      <c r="E101" s="36">
        <v>33953</v>
      </c>
      <c r="F101" s="37">
        <v>45212</v>
      </c>
      <c r="G101" s="39">
        <f t="shared" si="4"/>
        <v>0.1</v>
      </c>
      <c r="H101" s="38">
        <f t="shared" si="5"/>
        <v>3395.3</v>
      </c>
      <c r="I101" s="38">
        <f t="shared" si="6"/>
        <v>30557.7</v>
      </c>
    </row>
    <row r="103" spans="1:9" ht="23.4" x14ac:dyDescent="0.3">
      <c r="A103" s="78" t="s">
        <v>103</v>
      </c>
      <c r="B103" s="79"/>
      <c r="C103" s="79"/>
      <c r="D103" s="79"/>
      <c r="E103" s="79"/>
      <c r="F103" s="79"/>
      <c r="G103" s="80"/>
    </row>
    <row r="104" spans="1:9" ht="23.4" x14ac:dyDescent="0.3">
      <c r="A104" s="82" t="s">
        <v>104</v>
      </c>
      <c r="B104" s="83"/>
      <c r="C104" s="83"/>
      <c r="D104" s="83"/>
      <c r="E104" s="83"/>
      <c r="F104" s="83"/>
      <c r="G104" s="84"/>
    </row>
    <row r="106" spans="1:9" ht="21" x14ac:dyDescent="0.3">
      <c r="A106" s="33" t="s">
        <v>4</v>
      </c>
      <c r="B106" s="33" t="s">
        <v>5</v>
      </c>
      <c r="C106" s="33" t="s">
        <v>6</v>
      </c>
      <c r="D106" s="33" t="s">
        <v>7</v>
      </c>
      <c r="E106" s="33" t="s">
        <v>8</v>
      </c>
      <c r="F106" s="33" t="s">
        <v>9</v>
      </c>
      <c r="G106" s="33" t="s">
        <v>105</v>
      </c>
    </row>
    <row r="107" spans="1:9" ht="21" x14ac:dyDescent="0.3">
      <c r="A107" s="28">
        <v>1001</v>
      </c>
      <c r="B107" s="28" t="s">
        <v>10</v>
      </c>
      <c r="C107" s="28">
        <v>61</v>
      </c>
      <c r="D107" s="28">
        <v>48</v>
      </c>
      <c r="E107" s="28">
        <v>76</v>
      </c>
      <c r="F107" s="30">
        <v>43101</v>
      </c>
      <c r="G107" s="34" t="str">
        <f t="shared" ref="G107:G117" si="7">IF(AND(C107&gt;80,D107&gt;80),"Yes","No")</f>
        <v>No</v>
      </c>
    </row>
    <row r="108" spans="1:9" ht="21" x14ac:dyDescent="0.3">
      <c r="A108" s="28">
        <v>1002</v>
      </c>
      <c r="B108" s="28" t="s">
        <v>11</v>
      </c>
      <c r="C108" s="28">
        <v>78</v>
      </c>
      <c r="D108" s="28">
        <v>76</v>
      </c>
      <c r="E108" s="28">
        <v>70</v>
      </c>
      <c r="F108" s="30">
        <v>43281</v>
      </c>
      <c r="G108" s="34" t="str">
        <f t="shared" si="7"/>
        <v>No</v>
      </c>
    </row>
    <row r="109" spans="1:9" ht="21" x14ac:dyDescent="0.3">
      <c r="A109" s="28">
        <v>1003</v>
      </c>
      <c r="B109" s="28" t="s">
        <v>12</v>
      </c>
      <c r="C109" s="28">
        <v>97</v>
      </c>
      <c r="D109" s="28">
        <v>60</v>
      </c>
      <c r="E109" s="28">
        <v>51</v>
      </c>
      <c r="F109" s="30">
        <v>43461</v>
      </c>
      <c r="G109" s="34" t="str">
        <f t="shared" si="7"/>
        <v>No</v>
      </c>
    </row>
    <row r="110" spans="1:9" ht="21" x14ac:dyDescent="0.3">
      <c r="A110" s="28">
        <v>1004</v>
      </c>
      <c r="B110" s="28" t="s">
        <v>13</v>
      </c>
      <c r="C110" s="28">
        <v>74</v>
      </c>
      <c r="D110" s="28">
        <v>55</v>
      </c>
      <c r="E110" s="28">
        <v>46</v>
      </c>
      <c r="F110" s="30">
        <v>43641</v>
      </c>
      <c r="G110" s="34" t="str">
        <f t="shared" si="7"/>
        <v>No</v>
      </c>
    </row>
    <row r="111" spans="1:9" ht="21" x14ac:dyDescent="0.3">
      <c r="A111" s="28">
        <v>1005</v>
      </c>
      <c r="B111" s="28" t="s">
        <v>14</v>
      </c>
      <c r="C111" s="28">
        <v>68</v>
      </c>
      <c r="D111" s="28">
        <v>74</v>
      </c>
      <c r="E111" s="28">
        <v>84</v>
      </c>
      <c r="F111" s="30">
        <v>43821</v>
      </c>
      <c r="G111" s="34" t="str">
        <f t="shared" si="7"/>
        <v>No</v>
      </c>
    </row>
    <row r="112" spans="1:9" ht="21" x14ac:dyDescent="0.3">
      <c r="A112" s="28">
        <v>1006</v>
      </c>
      <c r="B112" s="28" t="s">
        <v>15</v>
      </c>
      <c r="C112" s="28">
        <v>80</v>
      </c>
      <c r="D112" s="28">
        <v>70</v>
      </c>
      <c r="E112" s="28">
        <v>65</v>
      </c>
      <c r="F112" s="30">
        <v>44001</v>
      </c>
      <c r="G112" s="34" t="str">
        <f t="shared" si="7"/>
        <v>No</v>
      </c>
    </row>
    <row r="113" spans="1:7" ht="21" x14ac:dyDescent="0.3">
      <c r="A113" s="28">
        <v>1007</v>
      </c>
      <c r="B113" s="28" t="s">
        <v>16</v>
      </c>
      <c r="C113" s="28">
        <v>75</v>
      </c>
      <c r="D113" s="28">
        <v>47</v>
      </c>
      <c r="E113" s="28">
        <v>78</v>
      </c>
      <c r="F113" s="30">
        <v>44181</v>
      </c>
      <c r="G113" s="34" t="str">
        <f t="shared" si="7"/>
        <v>No</v>
      </c>
    </row>
    <row r="114" spans="1:7" ht="21" x14ac:dyDescent="0.3">
      <c r="A114" s="28">
        <v>1008</v>
      </c>
      <c r="B114" s="28" t="s">
        <v>17</v>
      </c>
      <c r="C114" s="28">
        <v>94</v>
      </c>
      <c r="D114" s="28">
        <v>67</v>
      </c>
      <c r="E114" s="28">
        <v>64</v>
      </c>
      <c r="F114" s="30">
        <v>44361</v>
      </c>
      <c r="G114" s="34" t="str">
        <f t="shared" si="7"/>
        <v>No</v>
      </c>
    </row>
    <row r="115" spans="1:7" ht="21" x14ac:dyDescent="0.3">
      <c r="A115" s="28">
        <v>1009</v>
      </c>
      <c r="B115" s="28" t="s">
        <v>18</v>
      </c>
      <c r="C115" s="28">
        <v>41</v>
      </c>
      <c r="D115" s="28">
        <v>75</v>
      </c>
      <c r="E115" s="28">
        <v>56</v>
      </c>
      <c r="F115" s="30">
        <v>44541</v>
      </c>
      <c r="G115" s="34" t="str">
        <f t="shared" si="7"/>
        <v>No</v>
      </c>
    </row>
    <row r="116" spans="1:7" ht="21" x14ac:dyDescent="0.3">
      <c r="A116" s="28">
        <v>1010</v>
      </c>
      <c r="B116" s="28" t="s">
        <v>19</v>
      </c>
      <c r="C116" s="28">
        <v>98</v>
      </c>
      <c r="D116" s="28">
        <v>54</v>
      </c>
      <c r="E116" s="28">
        <v>58</v>
      </c>
      <c r="F116" s="30">
        <v>44721</v>
      </c>
      <c r="G116" s="34" t="str">
        <f t="shared" si="7"/>
        <v>No</v>
      </c>
    </row>
    <row r="117" spans="1:7" ht="21" x14ac:dyDescent="0.3">
      <c r="A117" s="28">
        <v>1011</v>
      </c>
      <c r="B117" s="28" t="s">
        <v>20</v>
      </c>
      <c r="C117" s="28">
        <v>73</v>
      </c>
      <c r="D117" s="28">
        <v>79</v>
      </c>
      <c r="E117" s="28">
        <v>53</v>
      </c>
      <c r="F117" s="30">
        <v>44901</v>
      </c>
      <c r="G117" s="34" t="str">
        <f t="shared" si="7"/>
        <v>No</v>
      </c>
    </row>
    <row r="118" spans="1:7" ht="21" x14ac:dyDescent="0.3">
      <c r="A118" s="28">
        <v>1012</v>
      </c>
      <c r="B118" s="28" t="s">
        <v>21</v>
      </c>
      <c r="C118" s="28">
        <v>85</v>
      </c>
      <c r="D118" s="28">
        <v>89</v>
      </c>
      <c r="E118" s="28">
        <v>79</v>
      </c>
      <c r="F118" s="30">
        <v>45081</v>
      </c>
      <c r="G118" s="34" t="str">
        <f>IF(AND(C118&gt;80,D118&gt;80),"Yes","No")</f>
        <v>Yes</v>
      </c>
    </row>
    <row r="119" spans="1:7" ht="21" x14ac:dyDescent="0.3">
      <c r="A119" s="28">
        <v>1013</v>
      </c>
      <c r="B119" s="28" t="s">
        <v>22</v>
      </c>
      <c r="C119" s="28">
        <v>98</v>
      </c>
      <c r="D119" s="28">
        <v>90</v>
      </c>
      <c r="E119" s="28">
        <v>97</v>
      </c>
      <c r="F119" s="30">
        <v>45261</v>
      </c>
      <c r="G119" s="34" t="str">
        <f t="shared" ref="G119:G126" si="8">IF(AND(C119&gt;80,D119&gt;80),"Yes","No")</f>
        <v>Yes</v>
      </c>
    </row>
    <row r="120" spans="1:7" ht="21" x14ac:dyDescent="0.3">
      <c r="A120" s="28">
        <v>1014</v>
      </c>
      <c r="B120" s="28" t="s">
        <v>23</v>
      </c>
      <c r="C120" s="28">
        <v>93</v>
      </c>
      <c r="D120" s="28">
        <v>40</v>
      </c>
      <c r="E120" s="28">
        <v>44</v>
      </c>
      <c r="F120" s="30">
        <v>45441</v>
      </c>
      <c r="G120" s="34" t="str">
        <f t="shared" si="8"/>
        <v>No</v>
      </c>
    </row>
    <row r="121" spans="1:7" ht="21" x14ac:dyDescent="0.3">
      <c r="A121" s="28">
        <v>1015</v>
      </c>
      <c r="B121" s="28" t="s">
        <v>24</v>
      </c>
      <c r="C121" s="28">
        <v>70</v>
      </c>
      <c r="D121" s="28">
        <v>51</v>
      </c>
      <c r="E121" s="28">
        <v>75</v>
      </c>
      <c r="F121" s="30">
        <v>45621</v>
      </c>
      <c r="G121" s="34" t="str">
        <f t="shared" si="8"/>
        <v>No</v>
      </c>
    </row>
    <row r="122" spans="1:7" ht="21" x14ac:dyDescent="0.3">
      <c r="A122" s="28">
        <v>1016</v>
      </c>
      <c r="B122" s="28" t="s">
        <v>25</v>
      </c>
      <c r="C122" s="28">
        <v>98</v>
      </c>
      <c r="D122" s="28">
        <v>77</v>
      </c>
      <c r="E122" s="28">
        <v>60</v>
      </c>
      <c r="F122" s="30">
        <v>45801</v>
      </c>
      <c r="G122" s="34" t="str">
        <f t="shared" si="8"/>
        <v>No</v>
      </c>
    </row>
    <row r="123" spans="1:7" ht="21" x14ac:dyDescent="0.3">
      <c r="A123" s="28">
        <v>1017</v>
      </c>
      <c r="B123" s="28" t="s">
        <v>26</v>
      </c>
      <c r="C123" s="28">
        <v>66</v>
      </c>
      <c r="D123" s="28">
        <v>59</v>
      </c>
      <c r="E123" s="28">
        <v>40</v>
      </c>
      <c r="F123" s="30">
        <v>45981</v>
      </c>
      <c r="G123" s="34" t="str">
        <f t="shared" si="8"/>
        <v>No</v>
      </c>
    </row>
    <row r="124" spans="1:7" ht="21" x14ac:dyDescent="0.3">
      <c r="A124" s="28">
        <v>1018</v>
      </c>
      <c r="B124" s="28" t="s">
        <v>27</v>
      </c>
      <c r="C124" s="28">
        <v>82</v>
      </c>
      <c r="D124" s="28">
        <v>48</v>
      </c>
      <c r="E124" s="28">
        <v>79</v>
      </c>
      <c r="F124" s="30">
        <v>46161</v>
      </c>
      <c r="G124" s="34" t="str">
        <f t="shared" si="8"/>
        <v>No</v>
      </c>
    </row>
    <row r="125" spans="1:7" ht="21" x14ac:dyDescent="0.3">
      <c r="A125" s="28">
        <v>1019</v>
      </c>
      <c r="B125" s="28" t="s">
        <v>28</v>
      </c>
      <c r="C125" s="28">
        <v>90</v>
      </c>
      <c r="D125" s="28">
        <v>78</v>
      </c>
      <c r="E125" s="28">
        <v>60</v>
      </c>
      <c r="F125" s="30">
        <v>46341</v>
      </c>
      <c r="G125" s="34" t="str">
        <f t="shared" si="8"/>
        <v>No</v>
      </c>
    </row>
    <row r="126" spans="1:7" ht="21" x14ac:dyDescent="0.3">
      <c r="A126" s="28">
        <v>1020</v>
      </c>
      <c r="B126" s="28" t="s">
        <v>29</v>
      </c>
      <c r="C126" s="28">
        <v>83</v>
      </c>
      <c r="D126" s="28">
        <v>92</v>
      </c>
      <c r="E126" s="28">
        <v>55</v>
      </c>
      <c r="F126" s="30">
        <v>46521</v>
      </c>
      <c r="G126" s="34" t="str">
        <f t="shared" si="8"/>
        <v>Yes</v>
      </c>
    </row>
    <row r="128" spans="1:7" ht="23.4" x14ac:dyDescent="0.3">
      <c r="A128" s="72" t="s">
        <v>106</v>
      </c>
      <c r="B128" s="72"/>
      <c r="C128" s="72"/>
      <c r="D128" s="72"/>
      <c r="E128" s="72"/>
      <c r="F128" s="72"/>
      <c r="G128" s="72"/>
    </row>
    <row r="130" spans="1:7" ht="46.8" x14ac:dyDescent="0.3">
      <c r="A130" s="35" t="s">
        <v>30</v>
      </c>
      <c r="B130" s="35" t="s">
        <v>31</v>
      </c>
      <c r="C130" s="35" t="s">
        <v>32</v>
      </c>
      <c r="D130" s="35" t="s">
        <v>33</v>
      </c>
      <c r="E130" s="35" t="s">
        <v>34</v>
      </c>
      <c r="F130" s="35" t="s">
        <v>35</v>
      </c>
      <c r="G130" s="35" t="s">
        <v>107</v>
      </c>
    </row>
    <row r="131" spans="1:7" ht="23.4" x14ac:dyDescent="0.3">
      <c r="A131" s="36">
        <v>2001</v>
      </c>
      <c r="B131" s="36" t="s">
        <v>36</v>
      </c>
      <c r="C131" s="36" t="s">
        <v>37</v>
      </c>
      <c r="D131" s="36" t="s">
        <v>38</v>
      </c>
      <c r="E131" s="36">
        <v>7048</v>
      </c>
      <c r="F131" s="37">
        <v>44927</v>
      </c>
      <c r="G131" s="38" t="str">
        <f>IF(OR(E131&gt;30000,C131&gt;"West"),"Eligable","Not Eligable")</f>
        <v>Not Eligable</v>
      </c>
    </row>
    <row r="132" spans="1:7" ht="23.4" x14ac:dyDescent="0.3">
      <c r="A132" s="36">
        <v>2002</v>
      </c>
      <c r="B132" s="36" t="s">
        <v>39</v>
      </c>
      <c r="C132" s="36" t="s">
        <v>40</v>
      </c>
      <c r="D132" s="36" t="s">
        <v>41</v>
      </c>
      <c r="E132" s="36">
        <v>17428</v>
      </c>
      <c r="F132" s="37">
        <v>44942</v>
      </c>
      <c r="G132" s="38" t="str">
        <f t="shared" ref="G132:G150" si="9">IF(OR(E132&gt;30000,C132&gt;"West"),"Eligable","Not Eligable")</f>
        <v>Not Eligable</v>
      </c>
    </row>
    <row r="133" spans="1:7" ht="23.4" x14ac:dyDescent="0.3">
      <c r="A133" s="36">
        <v>2003</v>
      </c>
      <c r="B133" s="36" t="s">
        <v>42</v>
      </c>
      <c r="C133" s="36" t="s">
        <v>37</v>
      </c>
      <c r="D133" s="36" t="s">
        <v>43</v>
      </c>
      <c r="E133" s="36">
        <v>23672</v>
      </c>
      <c r="F133" s="37">
        <v>44957</v>
      </c>
      <c r="G133" s="38" t="str">
        <f t="shared" si="9"/>
        <v>Not Eligable</v>
      </c>
    </row>
    <row r="134" spans="1:7" ht="23.4" x14ac:dyDescent="0.3">
      <c r="A134" s="36">
        <v>2004</v>
      </c>
      <c r="B134" s="36" t="s">
        <v>39</v>
      </c>
      <c r="C134" s="36" t="s">
        <v>44</v>
      </c>
      <c r="D134" s="36" t="s">
        <v>45</v>
      </c>
      <c r="E134" s="36">
        <v>5264</v>
      </c>
      <c r="F134" s="37">
        <v>44972</v>
      </c>
      <c r="G134" s="38" t="str">
        <f t="shared" si="9"/>
        <v>Not Eligable</v>
      </c>
    </row>
    <row r="135" spans="1:7" ht="23.4" x14ac:dyDescent="0.3">
      <c r="A135" s="36">
        <v>2005</v>
      </c>
      <c r="B135" s="36" t="s">
        <v>36</v>
      </c>
      <c r="C135" s="36" t="s">
        <v>46</v>
      </c>
      <c r="D135" s="36" t="s">
        <v>47</v>
      </c>
      <c r="E135" s="36">
        <v>43388</v>
      </c>
      <c r="F135" s="37">
        <v>44987</v>
      </c>
      <c r="G135" s="38" t="str">
        <f t="shared" si="9"/>
        <v>Eligable</v>
      </c>
    </row>
    <row r="136" spans="1:7" ht="23.4" x14ac:dyDescent="0.3">
      <c r="A136" s="36">
        <v>2006</v>
      </c>
      <c r="B136" s="36" t="s">
        <v>42</v>
      </c>
      <c r="C136" s="36" t="s">
        <v>46</v>
      </c>
      <c r="D136" s="36" t="s">
        <v>48</v>
      </c>
      <c r="E136" s="36">
        <v>19757</v>
      </c>
      <c r="F136" s="37">
        <v>45002</v>
      </c>
      <c r="G136" s="38" t="str">
        <f t="shared" si="9"/>
        <v>Not Eligable</v>
      </c>
    </row>
    <row r="137" spans="1:7" ht="23.4" x14ac:dyDescent="0.3">
      <c r="A137" s="36">
        <v>2007</v>
      </c>
      <c r="B137" s="36" t="s">
        <v>42</v>
      </c>
      <c r="C137" s="36" t="s">
        <v>44</v>
      </c>
      <c r="D137" s="36" t="s">
        <v>49</v>
      </c>
      <c r="E137" s="36">
        <v>32058</v>
      </c>
      <c r="F137" s="37">
        <v>45017</v>
      </c>
      <c r="G137" s="38" t="str">
        <f t="shared" si="9"/>
        <v>Eligable</v>
      </c>
    </row>
    <row r="138" spans="1:7" ht="23.4" x14ac:dyDescent="0.3">
      <c r="A138" s="36">
        <v>2008</v>
      </c>
      <c r="B138" s="36" t="s">
        <v>36</v>
      </c>
      <c r="C138" s="36" t="s">
        <v>44</v>
      </c>
      <c r="D138" s="36" t="s">
        <v>50</v>
      </c>
      <c r="E138" s="36">
        <v>46429</v>
      </c>
      <c r="F138" s="37">
        <v>45032</v>
      </c>
      <c r="G138" s="38" t="str">
        <f t="shared" si="9"/>
        <v>Eligable</v>
      </c>
    </row>
    <row r="139" spans="1:7" ht="23.4" x14ac:dyDescent="0.3">
      <c r="A139" s="36">
        <v>2009</v>
      </c>
      <c r="B139" s="36" t="s">
        <v>39</v>
      </c>
      <c r="C139" s="36" t="s">
        <v>44</v>
      </c>
      <c r="D139" s="36" t="s">
        <v>51</v>
      </c>
      <c r="E139" s="36">
        <v>19746</v>
      </c>
      <c r="F139" s="37">
        <v>45047</v>
      </c>
      <c r="G139" s="38" t="str">
        <f t="shared" si="9"/>
        <v>Not Eligable</v>
      </c>
    </row>
    <row r="140" spans="1:7" ht="23.4" x14ac:dyDescent="0.3">
      <c r="A140" s="36">
        <v>2010</v>
      </c>
      <c r="B140" s="36" t="s">
        <v>36</v>
      </c>
      <c r="C140" s="36" t="s">
        <v>37</v>
      </c>
      <c r="D140" s="36" t="s">
        <v>52</v>
      </c>
      <c r="E140" s="36">
        <v>35185</v>
      </c>
      <c r="F140" s="37">
        <v>45062</v>
      </c>
      <c r="G140" s="38" t="str">
        <f t="shared" si="9"/>
        <v>Eligable</v>
      </c>
    </row>
    <row r="141" spans="1:7" ht="23.4" x14ac:dyDescent="0.3">
      <c r="A141" s="36">
        <v>2011</v>
      </c>
      <c r="B141" s="36" t="s">
        <v>36</v>
      </c>
      <c r="C141" s="36" t="s">
        <v>44</v>
      </c>
      <c r="D141" s="36" t="s">
        <v>53</v>
      </c>
      <c r="E141" s="36">
        <v>33920</v>
      </c>
      <c r="F141" s="37">
        <v>45077</v>
      </c>
      <c r="G141" s="38" t="str">
        <f t="shared" si="9"/>
        <v>Eligable</v>
      </c>
    </row>
    <row r="142" spans="1:7" ht="23.4" x14ac:dyDescent="0.3">
      <c r="A142" s="36">
        <v>2012</v>
      </c>
      <c r="B142" s="36" t="s">
        <v>54</v>
      </c>
      <c r="C142" s="36" t="s">
        <v>46</v>
      </c>
      <c r="D142" s="36" t="s">
        <v>55</v>
      </c>
      <c r="E142" s="36">
        <v>35611</v>
      </c>
      <c r="F142" s="37">
        <v>45092</v>
      </c>
      <c r="G142" s="38" t="str">
        <f t="shared" si="9"/>
        <v>Eligable</v>
      </c>
    </row>
    <row r="143" spans="1:7" ht="23.4" x14ac:dyDescent="0.3">
      <c r="A143" s="36">
        <v>2013</v>
      </c>
      <c r="B143" s="36" t="s">
        <v>56</v>
      </c>
      <c r="C143" s="36" t="s">
        <v>44</v>
      </c>
      <c r="D143" s="36" t="s">
        <v>57</v>
      </c>
      <c r="E143" s="36">
        <v>15560</v>
      </c>
      <c r="F143" s="37">
        <v>45107</v>
      </c>
      <c r="G143" s="38" t="str">
        <f t="shared" si="9"/>
        <v>Not Eligable</v>
      </c>
    </row>
    <row r="144" spans="1:7" ht="23.4" x14ac:dyDescent="0.3">
      <c r="A144" s="36">
        <v>2014</v>
      </c>
      <c r="B144" s="36" t="s">
        <v>56</v>
      </c>
      <c r="C144" s="36" t="s">
        <v>37</v>
      </c>
      <c r="D144" s="36" t="s">
        <v>58</v>
      </c>
      <c r="E144" s="36">
        <v>7283</v>
      </c>
      <c r="F144" s="37">
        <v>45122</v>
      </c>
      <c r="G144" s="38" t="str">
        <f t="shared" si="9"/>
        <v>Not Eligable</v>
      </c>
    </row>
    <row r="145" spans="1:7" ht="23.4" x14ac:dyDescent="0.3">
      <c r="A145" s="36">
        <v>2015</v>
      </c>
      <c r="B145" s="36" t="s">
        <v>56</v>
      </c>
      <c r="C145" s="36" t="s">
        <v>44</v>
      </c>
      <c r="D145" s="36" t="s">
        <v>59</v>
      </c>
      <c r="E145" s="36">
        <v>15678</v>
      </c>
      <c r="F145" s="37">
        <v>45137</v>
      </c>
      <c r="G145" s="38" t="str">
        <f t="shared" si="9"/>
        <v>Not Eligable</v>
      </c>
    </row>
    <row r="146" spans="1:7" ht="23.4" x14ac:dyDescent="0.3">
      <c r="A146" s="36">
        <v>2016</v>
      </c>
      <c r="B146" s="36" t="s">
        <v>42</v>
      </c>
      <c r="C146" s="36" t="s">
        <v>44</v>
      </c>
      <c r="D146" s="36" t="s">
        <v>60</v>
      </c>
      <c r="E146" s="36">
        <v>5277</v>
      </c>
      <c r="F146" s="37">
        <v>45152</v>
      </c>
      <c r="G146" s="38" t="str">
        <f t="shared" si="9"/>
        <v>Not Eligable</v>
      </c>
    </row>
    <row r="147" spans="1:7" ht="23.4" x14ac:dyDescent="0.3">
      <c r="A147" s="36">
        <v>2017</v>
      </c>
      <c r="B147" s="36" t="s">
        <v>54</v>
      </c>
      <c r="C147" s="36" t="s">
        <v>46</v>
      </c>
      <c r="D147" s="36" t="s">
        <v>61</v>
      </c>
      <c r="E147" s="36">
        <v>41871</v>
      </c>
      <c r="F147" s="37">
        <v>45167</v>
      </c>
      <c r="G147" s="38" t="str">
        <f t="shared" si="9"/>
        <v>Eligable</v>
      </c>
    </row>
    <row r="148" spans="1:7" ht="23.4" x14ac:dyDescent="0.3">
      <c r="A148" s="36">
        <v>2018</v>
      </c>
      <c r="B148" s="36" t="s">
        <v>54</v>
      </c>
      <c r="C148" s="36" t="s">
        <v>40</v>
      </c>
      <c r="D148" s="36" t="s">
        <v>62</v>
      </c>
      <c r="E148" s="36">
        <v>38161</v>
      </c>
      <c r="F148" s="37">
        <v>45182</v>
      </c>
      <c r="G148" s="38" t="str">
        <f t="shared" si="9"/>
        <v>Eligable</v>
      </c>
    </row>
    <row r="149" spans="1:7" ht="23.4" x14ac:dyDescent="0.3">
      <c r="A149" s="36">
        <v>2019</v>
      </c>
      <c r="B149" s="36" t="s">
        <v>42</v>
      </c>
      <c r="C149" s="36" t="s">
        <v>40</v>
      </c>
      <c r="D149" s="36" t="s">
        <v>63</v>
      </c>
      <c r="E149" s="36">
        <v>30436</v>
      </c>
      <c r="F149" s="37">
        <v>45197</v>
      </c>
      <c r="G149" s="38" t="str">
        <f t="shared" si="9"/>
        <v>Eligable</v>
      </c>
    </row>
    <row r="150" spans="1:7" ht="23.4" x14ac:dyDescent="0.3">
      <c r="A150" s="36">
        <v>2020</v>
      </c>
      <c r="B150" s="36" t="s">
        <v>39</v>
      </c>
      <c r="C150" s="36" t="s">
        <v>40</v>
      </c>
      <c r="D150" s="36" t="s">
        <v>64</v>
      </c>
      <c r="E150" s="36">
        <v>33953</v>
      </c>
      <c r="F150" s="37">
        <v>45212</v>
      </c>
      <c r="G150" s="38" t="str">
        <f t="shared" si="9"/>
        <v>Eligable</v>
      </c>
    </row>
    <row r="152" spans="1:7" ht="23.4" x14ac:dyDescent="0.3">
      <c r="A152" s="78" t="s">
        <v>108</v>
      </c>
      <c r="B152" s="79"/>
      <c r="C152" s="79"/>
      <c r="D152" s="79"/>
      <c r="E152" s="79"/>
      <c r="F152" s="79"/>
      <c r="G152" s="80"/>
    </row>
    <row r="153" spans="1:7" ht="23.4" x14ac:dyDescent="0.3">
      <c r="A153" s="72" t="s">
        <v>109</v>
      </c>
      <c r="B153" s="72"/>
      <c r="C153" s="72"/>
      <c r="D153" s="72"/>
      <c r="E153" s="72"/>
      <c r="F153" s="72"/>
      <c r="G153" s="72"/>
    </row>
    <row r="154" spans="1:7" ht="15" thickBot="1" x14ac:dyDescent="0.35"/>
    <row r="155" spans="1:7" ht="21.6" thickBot="1" x14ac:dyDescent="0.35">
      <c r="A155" s="40" t="s">
        <v>4</v>
      </c>
      <c r="B155" s="41" t="s">
        <v>5</v>
      </c>
      <c r="C155" s="41" t="s">
        <v>6</v>
      </c>
      <c r="D155" s="41" t="s">
        <v>7</v>
      </c>
      <c r="E155" s="41" t="s">
        <v>8</v>
      </c>
      <c r="F155" s="41" t="s">
        <v>9</v>
      </c>
    </row>
    <row r="156" spans="1:7" ht="21.6" thickBot="1" x14ac:dyDescent="0.35">
      <c r="A156" s="42">
        <v>1001</v>
      </c>
      <c r="B156" s="43" t="s">
        <v>10</v>
      </c>
      <c r="C156" s="43">
        <v>61</v>
      </c>
      <c r="D156" s="43">
        <v>48</v>
      </c>
      <c r="E156" s="43">
        <v>76</v>
      </c>
      <c r="F156" s="44">
        <v>43101</v>
      </c>
    </row>
    <row r="157" spans="1:7" ht="21.6" thickBot="1" x14ac:dyDescent="0.35">
      <c r="A157" s="42">
        <v>1002</v>
      </c>
      <c r="B157" s="43" t="s">
        <v>11</v>
      </c>
      <c r="C157" s="43">
        <v>78</v>
      </c>
      <c r="D157" s="43">
        <v>76</v>
      </c>
      <c r="E157" s="43">
        <v>70</v>
      </c>
      <c r="F157" s="44">
        <v>43281</v>
      </c>
    </row>
    <row r="158" spans="1:7" ht="21.6" thickBot="1" x14ac:dyDescent="0.35">
      <c r="A158" s="42">
        <v>1003</v>
      </c>
      <c r="B158" s="43" t="s">
        <v>12</v>
      </c>
      <c r="C158" s="43">
        <v>97</v>
      </c>
      <c r="D158" s="43">
        <v>60</v>
      </c>
      <c r="E158" s="43">
        <v>51</v>
      </c>
      <c r="F158" s="44">
        <v>43461</v>
      </c>
    </row>
    <row r="159" spans="1:7" ht="21.6" thickBot="1" x14ac:dyDescent="0.35">
      <c r="A159" s="42">
        <v>1004</v>
      </c>
      <c r="B159" s="43" t="s">
        <v>13</v>
      </c>
      <c r="C159" s="43">
        <v>74</v>
      </c>
      <c r="D159" s="43">
        <v>55</v>
      </c>
      <c r="E159" s="43">
        <v>46</v>
      </c>
      <c r="F159" s="44">
        <v>43641</v>
      </c>
    </row>
    <row r="160" spans="1:7" ht="21.6" thickBot="1" x14ac:dyDescent="0.35">
      <c r="A160" s="42">
        <v>1005</v>
      </c>
      <c r="B160" s="43" t="s">
        <v>14</v>
      </c>
      <c r="C160" s="43">
        <v>68</v>
      </c>
      <c r="D160" s="43">
        <v>74</v>
      </c>
      <c r="E160" s="43">
        <v>84</v>
      </c>
      <c r="F160" s="44">
        <v>43821</v>
      </c>
    </row>
    <row r="161" spans="1:12" ht="24" thickBot="1" x14ac:dyDescent="0.35">
      <c r="A161" s="42">
        <v>1006</v>
      </c>
      <c r="B161" s="43" t="s">
        <v>15</v>
      </c>
      <c r="C161" s="43">
        <v>80</v>
      </c>
      <c r="D161" s="43">
        <v>70</v>
      </c>
      <c r="E161" s="43">
        <v>65</v>
      </c>
      <c r="F161" s="44">
        <v>44001</v>
      </c>
      <c r="L161" s="13">
        <f>COUNTIFS(C156:C175,"&gt;50")</f>
        <v>19</v>
      </c>
    </row>
    <row r="162" spans="1:12" ht="21.6" thickBot="1" x14ac:dyDescent="0.35">
      <c r="A162" s="42">
        <v>1007</v>
      </c>
      <c r="B162" s="43" t="s">
        <v>16</v>
      </c>
      <c r="C162" s="43">
        <v>75</v>
      </c>
      <c r="D162" s="43">
        <v>47</v>
      </c>
      <c r="E162" s="43">
        <v>78</v>
      </c>
      <c r="F162" s="44">
        <v>44181</v>
      </c>
    </row>
    <row r="163" spans="1:12" ht="21.6" thickBot="1" x14ac:dyDescent="0.35">
      <c r="A163" s="42">
        <v>1008</v>
      </c>
      <c r="B163" s="43" t="s">
        <v>17</v>
      </c>
      <c r="C163" s="43">
        <v>94</v>
      </c>
      <c r="D163" s="43">
        <v>67</v>
      </c>
      <c r="E163" s="43">
        <v>64</v>
      </c>
      <c r="F163" s="44">
        <v>44361</v>
      </c>
    </row>
    <row r="164" spans="1:12" ht="21.6" thickBot="1" x14ac:dyDescent="0.35">
      <c r="A164" s="42">
        <v>1009</v>
      </c>
      <c r="B164" s="43" t="s">
        <v>18</v>
      </c>
      <c r="C164" s="43">
        <v>41</v>
      </c>
      <c r="D164" s="43">
        <v>75</v>
      </c>
      <c r="E164" s="43">
        <v>56</v>
      </c>
      <c r="F164" s="44">
        <v>44541</v>
      </c>
    </row>
    <row r="165" spans="1:12" ht="21.6" thickBot="1" x14ac:dyDescent="0.35">
      <c r="A165" s="42">
        <v>1010</v>
      </c>
      <c r="B165" s="43" t="s">
        <v>19</v>
      </c>
      <c r="C165" s="43">
        <v>98</v>
      </c>
      <c r="D165" s="43">
        <v>54</v>
      </c>
      <c r="E165" s="43">
        <v>58</v>
      </c>
      <c r="F165" s="44">
        <v>44721</v>
      </c>
    </row>
    <row r="166" spans="1:12" ht="21.6" thickBot="1" x14ac:dyDescent="0.35">
      <c r="A166" s="42">
        <v>1011</v>
      </c>
      <c r="B166" s="43" t="s">
        <v>20</v>
      </c>
      <c r="C166" s="43">
        <v>73</v>
      </c>
      <c r="D166" s="43">
        <v>79</v>
      </c>
      <c r="E166" s="43">
        <v>53</v>
      </c>
      <c r="F166" s="44">
        <v>44901</v>
      </c>
    </row>
    <row r="167" spans="1:12" ht="21.6" thickBot="1" x14ac:dyDescent="0.35">
      <c r="A167" s="42">
        <v>1012</v>
      </c>
      <c r="B167" s="43" t="s">
        <v>21</v>
      </c>
      <c r="C167" s="43">
        <v>85</v>
      </c>
      <c r="D167" s="43">
        <v>89</v>
      </c>
      <c r="E167" s="43">
        <v>79</v>
      </c>
      <c r="F167" s="44">
        <v>45081</v>
      </c>
    </row>
    <row r="168" spans="1:12" ht="21.6" thickBot="1" x14ac:dyDescent="0.35">
      <c r="A168" s="42">
        <v>1013</v>
      </c>
      <c r="B168" s="43" t="s">
        <v>22</v>
      </c>
      <c r="C168" s="43">
        <v>98</v>
      </c>
      <c r="D168" s="43">
        <v>90</v>
      </c>
      <c r="E168" s="43">
        <v>97</v>
      </c>
      <c r="F168" s="44">
        <v>45261</v>
      </c>
    </row>
    <row r="169" spans="1:12" ht="21.6" thickBot="1" x14ac:dyDescent="0.35">
      <c r="A169" s="42">
        <v>1014</v>
      </c>
      <c r="B169" s="43" t="s">
        <v>23</v>
      </c>
      <c r="C169" s="43">
        <v>93</v>
      </c>
      <c r="D169" s="43">
        <v>40</v>
      </c>
      <c r="E169" s="43">
        <v>44</v>
      </c>
      <c r="F169" s="44">
        <v>45441</v>
      </c>
    </row>
    <row r="170" spans="1:12" ht="21.6" thickBot="1" x14ac:dyDescent="0.35">
      <c r="A170" s="42">
        <v>1015</v>
      </c>
      <c r="B170" s="43" t="s">
        <v>24</v>
      </c>
      <c r="C170" s="43">
        <v>70</v>
      </c>
      <c r="D170" s="43">
        <v>51</v>
      </c>
      <c r="E170" s="43">
        <v>75</v>
      </c>
      <c r="F170" s="44">
        <v>45621</v>
      </c>
    </row>
    <row r="171" spans="1:12" ht="21.6" thickBot="1" x14ac:dyDescent="0.35">
      <c r="A171" s="42">
        <v>1016</v>
      </c>
      <c r="B171" s="43" t="s">
        <v>25</v>
      </c>
      <c r="C171" s="43">
        <v>98</v>
      </c>
      <c r="D171" s="43">
        <v>77</v>
      </c>
      <c r="E171" s="43">
        <v>60</v>
      </c>
      <c r="F171" s="44">
        <v>45801</v>
      </c>
    </row>
    <row r="172" spans="1:12" ht="21.6" thickBot="1" x14ac:dyDescent="0.35">
      <c r="A172" s="42">
        <v>1017</v>
      </c>
      <c r="B172" s="43" t="s">
        <v>26</v>
      </c>
      <c r="C172" s="43">
        <v>66</v>
      </c>
      <c r="D172" s="43">
        <v>59</v>
      </c>
      <c r="E172" s="43">
        <v>40</v>
      </c>
      <c r="F172" s="44">
        <v>45981</v>
      </c>
    </row>
    <row r="173" spans="1:12" ht="21.6" thickBot="1" x14ac:dyDescent="0.35">
      <c r="A173" s="42">
        <v>1018</v>
      </c>
      <c r="B173" s="43" t="s">
        <v>27</v>
      </c>
      <c r="C173" s="43">
        <v>82</v>
      </c>
      <c r="D173" s="43">
        <v>48</v>
      </c>
      <c r="E173" s="43">
        <v>79</v>
      </c>
      <c r="F173" s="44">
        <v>46161</v>
      </c>
    </row>
    <row r="174" spans="1:12" ht="21.6" thickBot="1" x14ac:dyDescent="0.35">
      <c r="A174" s="42">
        <v>1019</v>
      </c>
      <c r="B174" s="43" t="s">
        <v>28</v>
      </c>
      <c r="C174" s="43">
        <v>90</v>
      </c>
      <c r="D174" s="43">
        <v>78</v>
      </c>
      <c r="E174" s="43">
        <v>60</v>
      </c>
      <c r="F174" s="44">
        <v>46341</v>
      </c>
    </row>
    <row r="175" spans="1:12" ht="21.6" thickBot="1" x14ac:dyDescent="0.35">
      <c r="A175" s="42">
        <v>1020</v>
      </c>
      <c r="B175" s="43" t="s">
        <v>29</v>
      </c>
      <c r="C175" s="43">
        <v>83</v>
      </c>
      <c r="D175" s="43">
        <v>92</v>
      </c>
      <c r="E175" s="43">
        <v>55</v>
      </c>
      <c r="F175" s="44">
        <v>46521</v>
      </c>
    </row>
    <row r="177" spans="1:9" ht="23.4" x14ac:dyDescent="0.3">
      <c r="A177" s="72" t="s">
        <v>110</v>
      </c>
      <c r="B177" s="72"/>
      <c r="C177" s="72"/>
      <c r="D177" s="72"/>
      <c r="E177" s="72"/>
      <c r="F177" s="72"/>
      <c r="G177" s="72"/>
    </row>
    <row r="178" spans="1:9" ht="15" thickBot="1" x14ac:dyDescent="0.35"/>
    <row r="179" spans="1:9" ht="21.6" thickBot="1" x14ac:dyDescent="0.35">
      <c r="A179" s="40" t="s">
        <v>30</v>
      </c>
      <c r="B179" s="41" t="s">
        <v>31</v>
      </c>
      <c r="C179" s="41" t="s">
        <v>32</v>
      </c>
      <c r="D179" s="41" t="s">
        <v>33</v>
      </c>
      <c r="E179" s="41" t="s">
        <v>34</v>
      </c>
      <c r="F179" s="41" t="s">
        <v>35</v>
      </c>
    </row>
    <row r="180" spans="1:9" ht="21.6" thickBot="1" x14ac:dyDescent="0.35">
      <c r="A180" s="42">
        <v>2001</v>
      </c>
      <c r="B180" s="43" t="s">
        <v>36</v>
      </c>
      <c r="C180" s="43" t="s">
        <v>37</v>
      </c>
      <c r="D180" s="43" t="s">
        <v>38</v>
      </c>
      <c r="E180" s="43">
        <v>7048</v>
      </c>
      <c r="F180" s="44">
        <v>44927</v>
      </c>
    </row>
    <row r="181" spans="1:9" ht="21.6" thickBot="1" x14ac:dyDescent="0.35">
      <c r="A181" s="42">
        <v>2002</v>
      </c>
      <c r="B181" s="43" t="s">
        <v>39</v>
      </c>
      <c r="C181" s="43" t="s">
        <v>40</v>
      </c>
      <c r="D181" s="43" t="s">
        <v>41</v>
      </c>
      <c r="E181" s="43">
        <v>17428</v>
      </c>
      <c r="F181" s="44">
        <v>44942</v>
      </c>
    </row>
    <row r="182" spans="1:9" ht="21.6" thickBot="1" x14ac:dyDescent="0.35">
      <c r="A182" s="42">
        <v>2003</v>
      </c>
      <c r="B182" s="43" t="s">
        <v>42</v>
      </c>
      <c r="C182" s="43" t="s">
        <v>37</v>
      </c>
      <c r="D182" s="43" t="s">
        <v>43</v>
      </c>
      <c r="E182" s="43">
        <v>23672</v>
      </c>
      <c r="F182" s="44">
        <v>44957</v>
      </c>
    </row>
    <row r="183" spans="1:9" ht="21.6" thickBot="1" x14ac:dyDescent="0.35">
      <c r="A183" s="42">
        <v>2004</v>
      </c>
      <c r="B183" s="43" t="s">
        <v>39</v>
      </c>
      <c r="C183" s="43" t="s">
        <v>44</v>
      </c>
      <c r="D183" s="43" t="s">
        <v>45</v>
      </c>
      <c r="E183" s="43">
        <v>5264</v>
      </c>
      <c r="F183" s="44">
        <v>44972</v>
      </c>
    </row>
    <row r="184" spans="1:9" ht="24" thickBot="1" x14ac:dyDescent="0.35">
      <c r="A184" s="42">
        <v>2005</v>
      </c>
      <c r="B184" s="43" t="s">
        <v>36</v>
      </c>
      <c r="C184" s="43" t="s">
        <v>46</v>
      </c>
      <c r="D184" s="43" t="s">
        <v>47</v>
      </c>
      <c r="E184" s="43">
        <v>43388</v>
      </c>
      <c r="F184" s="44">
        <v>44987</v>
      </c>
      <c r="H184" s="70" t="s">
        <v>111</v>
      </c>
      <c r="I184" s="70" t="s">
        <v>112</v>
      </c>
    </row>
    <row r="185" spans="1:9" ht="24" thickBot="1" x14ac:dyDescent="0.35">
      <c r="A185" s="42">
        <v>2006</v>
      </c>
      <c r="B185" s="43" t="s">
        <v>42</v>
      </c>
      <c r="C185" s="43" t="s">
        <v>46</v>
      </c>
      <c r="D185" s="43" t="s">
        <v>48</v>
      </c>
      <c r="E185" s="43">
        <v>19757</v>
      </c>
      <c r="F185" s="44">
        <v>45002</v>
      </c>
      <c r="H185" s="71">
        <f>SUMIFS(E180:E199,B180:B199,"Laptop",C180:C199,"East")</f>
        <v>31238</v>
      </c>
      <c r="I185" s="71">
        <f>SUMIFS(E180:E199,B180:B199,"Printer",C180:C199,"West")</f>
        <v>51381</v>
      </c>
    </row>
    <row r="186" spans="1:9" ht="21.6" thickBot="1" x14ac:dyDescent="0.35">
      <c r="A186" s="42">
        <v>2007</v>
      </c>
      <c r="B186" s="43" t="s">
        <v>42</v>
      </c>
      <c r="C186" s="43" t="s">
        <v>44</v>
      </c>
      <c r="D186" s="43" t="s">
        <v>49</v>
      </c>
      <c r="E186" s="43">
        <v>32058</v>
      </c>
      <c r="F186" s="44">
        <v>45017</v>
      </c>
    </row>
    <row r="187" spans="1:9" ht="21.6" thickBot="1" x14ac:dyDescent="0.35">
      <c r="A187" s="42">
        <v>2008</v>
      </c>
      <c r="B187" s="43" t="s">
        <v>36</v>
      </c>
      <c r="C187" s="43" t="s">
        <v>44</v>
      </c>
      <c r="D187" s="43" t="s">
        <v>50</v>
      </c>
      <c r="E187" s="43">
        <v>46429</v>
      </c>
      <c r="F187" s="44">
        <v>45032</v>
      </c>
    </row>
    <row r="188" spans="1:9" ht="21.6" thickBot="1" x14ac:dyDescent="0.35">
      <c r="A188" s="42">
        <v>2009</v>
      </c>
      <c r="B188" s="43" t="s">
        <v>39</v>
      </c>
      <c r="C188" s="43" t="s">
        <v>44</v>
      </c>
      <c r="D188" s="43" t="s">
        <v>51</v>
      </c>
      <c r="E188" s="43">
        <v>19746</v>
      </c>
      <c r="F188" s="44">
        <v>45047</v>
      </c>
    </row>
    <row r="189" spans="1:9" ht="21.6" thickBot="1" x14ac:dyDescent="0.35">
      <c r="A189" s="42">
        <v>2010</v>
      </c>
      <c r="B189" s="43" t="s">
        <v>36</v>
      </c>
      <c r="C189" s="43" t="s">
        <v>37</v>
      </c>
      <c r="D189" s="43" t="s">
        <v>52</v>
      </c>
      <c r="E189" s="43">
        <v>35185</v>
      </c>
      <c r="F189" s="44">
        <v>45062</v>
      </c>
    </row>
    <row r="190" spans="1:9" ht="21.6" thickBot="1" x14ac:dyDescent="0.35">
      <c r="A190" s="42">
        <v>2011</v>
      </c>
      <c r="B190" s="43" t="s">
        <v>36</v>
      </c>
      <c r="C190" s="43" t="s">
        <v>44</v>
      </c>
      <c r="D190" s="43" t="s">
        <v>53</v>
      </c>
      <c r="E190" s="43">
        <v>33920</v>
      </c>
      <c r="F190" s="44">
        <v>45077</v>
      </c>
    </row>
    <row r="191" spans="1:9" ht="21.6" thickBot="1" x14ac:dyDescent="0.35">
      <c r="A191" s="42">
        <v>2012</v>
      </c>
      <c r="B191" s="43" t="s">
        <v>54</v>
      </c>
      <c r="C191" s="43" t="s">
        <v>46</v>
      </c>
      <c r="D191" s="43" t="s">
        <v>55</v>
      </c>
      <c r="E191" s="43">
        <v>35611</v>
      </c>
      <c r="F191" s="44">
        <v>45092</v>
      </c>
    </row>
    <row r="192" spans="1:9" ht="21.6" thickBot="1" x14ac:dyDescent="0.35">
      <c r="A192" s="42">
        <v>2013</v>
      </c>
      <c r="B192" s="43" t="s">
        <v>56</v>
      </c>
      <c r="C192" s="43" t="s">
        <v>44</v>
      </c>
      <c r="D192" s="43" t="s">
        <v>57</v>
      </c>
      <c r="E192" s="43">
        <v>15560</v>
      </c>
      <c r="F192" s="44">
        <v>45107</v>
      </c>
    </row>
    <row r="193" spans="1:7" ht="21.6" thickBot="1" x14ac:dyDescent="0.35">
      <c r="A193" s="42">
        <v>2014</v>
      </c>
      <c r="B193" s="43" t="s">
        <v>56</v>
      </c>
      <c r="C193" s="43" t="s">
        <v>37</v>
      </c>
      <c r="D193" s="43" t="s">
        <v>58</v>
      </c>
      <c r="E193" s="43">
        <v>7283</v>
      </c>
      <c r="F193" s="44">
        <v>45122</v>
      </c>
    </row>
    <row r="194" spans="1:7" ht="21.6" thickBot="1" x14ac:dyDescent="0.35">
      <c r="A194" s="42">
        <v>2015</v>
      </c>
      <c r="B194" s="43" t="s">
        <v>56</v>
      </c>
      <c r="C194" s="43" t="s">
        <v>44</v>
      </c>
      <c r="D194" s="43" t="s">
        <v>59</v>
      </c>
      <c r="E194" s="43">
        <v>15678</v>
      </c>
      <c r="F194" s="44">
        <v>45137</v>
      </c>
    </row>
    <row r="195" spans="1:7" ht="21.6" thickBot="1" x14ac:dyDescent="0.35">
      <c r="A195" s="42">
        <v>2016</v>
      </c>
      <c r="B195" s="43" t="s">
        <v>42</v>
      </c>
      <c r="C195" s="43" t="s">
        <v>44</v>
      </c>
      <c r="D195" s="43" t="s">
        <v>60</v>
      </c>
      <c r="E195" s="43">
        <v>5277</v>
      </c>
      <c r="F195" s="44">
        <v>45152</v>
      </c>
    </row>
    <row r="196" spans="1:7" ht="21.6" thickBot="1" x14ac:dyDescent="0.35">
      <c r="A196" s="42">
        <v>2017</v>
      </c>
      <c r="B196" s="43" t="s">
        <v>54</v>
      </c>
      <c r="C196" s="43" t="s">
        <v>46</v>
      </c>
      <c r="D196" s="43" t="s">
        <v>61</v>
      </c>
      <c r="E196" s="43">
        <v>41871</v>
      </c>
      <c r="F196" s="44">
        <v>45167</v>
      </c>
    </row>
    <row r="197" spans="1:7" ht="21.6" thickBot="1" x14ac:dyDescent="0.35">
      <c r="A197" s="42">
        <v>2018</v>
      </c>
      <c r="B197" s="43" t="s">
        <v>54</v>
      </c>
      <c r="C197" s="43" t="s">
        <v>40</v>
      </c>
      <c r="D197" s="43" t="s">
        <v>62</v>
      </c>
      <c r="E197" s="43">
        <v>38161</v>
      </c>
      <c r="F197" s="44">
        <v>45182</v>
      </c>
    </row>
    <row r="198" spans="1:7" ht="21.6" thickBot="1" x14ac:dyDescent="0.35">
      <c r="A198" s="42">
        <v>2019</v>
      </c>
      <c r="B198" s="43" t="s">
        <v>42</v>
      </c>
      <c r="C198" s="43" t="s">
        <v>40</v>
      </c>
      <c r="D198" s="43" t="s">
        <v>63</v>
      </c>
      <c r="E198" s="43">
        <v>30436</v>
      </c>
      <c r="F198" s="44">
        <v>45197</v>
      </c>
    </row>
    <row r="199" spans="1:7" ht="21.6" thickBot="1" x14ac:dyDescent="0.35">
      <c r="A199" s="42">
        <v>2020</v>
      </c>
      <c r="B199" s="43" t="s">
        <v>39</v>
      </c>
      <c r="C199" s="43" t="s">
        <v>40</v>
      </c>
      <c r="D199" s="43" t="s">
        <v>64</v>
      </c>
      <c r="E199" s="43">
        <v>33953</v>
      </c>
      <c r="F199" s="44">
        <v>45212</v>
      </c>
    </row>
    <row r="201" spans="1:7" ht="23.4" x14ac:dyDescent="0.3">
      <c r="A201" s="86" t="s">
        <v>113</v>
      </c>
      <c r="B201" s="87"/>
      <c r="C201" s="87"/>
      <c r="D201" s="87"/>
      <c r="E201" s="87"/>
      <c r="F201" s="87"/>
      <c r="G201" s="88"/>
    </row>
    <row r="202" spans="1:7" ht="15" thickBot="1" x14ac:dyDescent="0.35"/>
    <row r="203" spans="1:7" ht="21.6" thickBot="1" x14ac:dyDescent="0.35">
      <c r="A203" s="40" t="s">
        <v>4</v>
      </c>
      <c r="B203" s="41" t="s">
        <v>5</v>
      </c>
      <c r="C203" s="41" t="s">
        <v>6</v>
      </c>
      <c r="D203" s="41" t="s">
        <v>7</v>
      </c>
      <c r="E203" s="41" t="s">
        <v>8</v>
      </c>
      <c r="F203" s="41" t="s">
        <v>9</v>
      </c>
    </row>
    <row r="204" spans="1:7" ht="21.6" thickBot="1" x14ac:dyDescent="0.35">
      <c r="A204" s="42">
        <v>1001</v>
      </c>
      <c r="B204" s="43" t="s">
        <v>10</v>
      </c>
      <c r="C204" s="43">
        <v>61</v>
      </c>
      <c r="D204" s="43">
        <v>48</v>
      </c>
      <c r="E204" s="43">
        <v>76</v>
      </c>
      <c r="F204" s="44">
        <v>43101</v>
      </c>
    </row>
    <row r="205" spans="1:7" ht="21.6" thickBot="1" x14ac:dyDescent="0.35">
      <c r="A205" s="42">
        <v>1002</v>
      </c>
      <c r="B205" s="43" t="s">
        <v>11</v>
      </c>
      <c r="C205" s="43">
        <v>78</v>
      </c>
      <c r="D205" s="43">
        <v>76</v>
      </c>
      <c r="E205" s="43">
        <v>70</v>
      </c>
      <c r="F205" s="44">
        <v>43281</v>
      </c>
    </row>
    <row r="206" spans="1:7" ht="21.6" thickBot="1" x14ac:dyDescent="0.35">
      <c r="A206" s="42">
        <v>1003</v>
      </c>
      <c r="B206" s="43" t="s">
        <v>12</v>
      </c>
      <c r="C206" s="43">
        <v>97</v>
      </c>
      <c r="D206" s="43">
        <v>60</v>
      </c>
      <c r="E206" s="43">
        <v>51</v>
      </c>
      <c r="F206" s="44">
        <v>43461</v>
      </c>
    </row>
    <row r="207" spans="1:7" ht="21.6" thickBot="1" x14ac:dyDescent="0.35">
      <c r="A207" s="42">
        <v>1004</v>
      </c>
      <c r="B207" s="43" t="s">
        <v>13</v>
      </c>
      <c r="C207" s="43">
        <v>74</v>
      </c>
      <c r="D207" s="43">
        <v>55</v>
      </c>
      <c r="E207" s="43">
        <v>46</v>
      </c>
      <c r="F207" s="44">
        <v>43641</v>
      </c>
    </row>
    <row r="208" spans="1:7" ht="21.6" thickBot="1" x14ac:dyDescent="0.35">
      <c r="A208" s="42">
        <v>1005</v>
      </c>
      <c r="B208" s="43" t="s">
        <v>14</v>
      </c>
      <c r="C208" s="43">
        <v>68</v>
      </c>
      <c r="D208" s="43">
        <v>74</v>
      </c>
      <c r="E208" s="43">
        <v>84</v>
      </c>
      <c r="F208" s="44">
        <v>43821</v>
      </c>
    </row>
    <row r="209" spans="1:11" ht="21.6" thickBot="1" x14ac:dyDescent="0.35">
      <c r="A209" s="42">
        <v>1006</v>
      </c>
      <c r="B209" s="43" t="s">
        <v>15</v>
      </c>
      <c r="C209" s="43">
        <v>80</v>
      </c>
      <c r="D209" s="43">
        <v>70</v>
      </c>
      <c r="E209" s="43">
        <v>65</v>
      </c>
      <c r="F209" s="44">
        <v>44001</v>
      </c>
    </row>
    <row r="210" spans="1:11" ht="21.6" thickBot="1" x14ac:dyDescent="0.35">
      <c r="A210" s="42">
        <v>1007</v>
      </c>
      <c r="B210" s="43" t="s">
        <v>16</v>
      </c>
      <c r="C210" s="43">
        <v>75</v>
      </c>
      <c r="D210" s="43">
        <v>47</v>
      </c>
      <c r="E210" s="43">
        <v>78</v>
      </c>
      <c r="F210" s="44">
        <v>44181</v>
      </c>
    </row>
    <row r="211" spans="1:11" ht="24" thickBot="1" x14ac:dyDescent="0.35">
      <c r="A211" s="42">
        <v>1008</v>
      </c>
      <c r="B211" s="43" t="s">
        <v>17</v>
      </c>
      <c r="C211" s="43">
        <v>94</v>
      </c>
      <c r="D211" s="43">
        <v>67</v>
      </c>
      <c r="E211" s="43">
        <v>64</v>
      </c>
      <c r="F211" s="44">
        <v>44361</v>
      </c>
      <c r="H211" s="66">
        <f>AVERAGEIFS(C204:C223,C204:C223,"&gt;60")</f>
        <v>82.263157894736835</v>
      </c>
      <c r="I211" s="67">
        <f t="shared" ref="I211" si="10">AVERAGEIFS(D204:D223,D204:D223,"&gt;60")</f>
        <v>78.818181818181813</v>
      </c>
      <c r="J211" s="68">
        <f>AVERAGEIFS(E204:E223,E204:E223,"&gt;60")</f>
        <v>76.7</v>
      </c>
      <c r="K211" s="69"/>
    </row>
    <row r="212" spans="1:11" ht="21.6" thickBot="1" x14ac:dyDescent="0.35">
      <c r="A212" s="42">
        <v>1009</v>
      </c>
      <c r="B212" s="43" t="s">
        <v>18</v>
      </c>
      <c r="C212" s="43">
        <v>41</v>
      </c>
      <c r="D212" s="43">
        <v>75</v>
      </c>
      <c r="E212" s="43">
        <v>56</v>
      </c>
      <c r="F212" s="44">
        <v>44541</v>
      </c>
    </row>
    <row r="213" spans="1:11" ht="21.6" thickBot="1" x14ac:dyDescent="0.35">
      <c r="A213" s="42">
        <v>1010</v>
      </c>
      <c r="B213" s="43" t="s">
        <v>19</v>
      </c>
      <c r="C213" s="43">
        <v>98</v>
      </c>
      <c r="D213" s="43">
        <v>54</v>
      </c>
      <c r="E213" s="43">
        <v>58</v>
      </c>
      <c r="F213" s="44">
        <v>44721</v>
      </c>
    </row>
    <row r="214" spans="1:11" ht="21.6" thickBot="1" x14ac:dyDescent="0.35">
      <c r="A214" s="42">
        <v>1011</v>
      </c>
      <c r="B214" s="43" t="s">
        <v>20</v>
      </c>
      <c r="C214" s="43">
        <v>73</v>
      </c>
      <c r="D214" s="43">
        <v>79</v>
      </c>
      <c r="E214" s="43">
        <v>53</v>
      </c>
      <c r="F214" s="44">
        <v>44901</v>
      </c>
    </row>
    <row r="215" spans="1:11" ht="21.6" thickBot="1" x14ac:dyDescent="0.35">
      <c r="A215" s="42">
        <v>1012</v>
      </c>
      <c r="B215" s="43" t="s">
        <v>21</v>
      </c>
      <c r="C215" s="43">
        <v>85</v>
      </c>
      <c r="D215" s="43">
        <v>89</v>
      </c>
      <c r="E215" s="43">
        <v>79</v>
      </c>
      <c r="F215" s="44">
        <v>45081</v>
      </c>
    </row>
    <row r="216" spans="1:11" ht="21.6" thickBot="1" x14ac:dyDescent="0.35">
      <c r="A216" s="42">
        <v>1013</v>
      </c>
      <c r="B216" s="43" t="s">
        <v>22</v>
      </c>
      <c r="C216" s="43">
        <v>98</v>
      </c>
      <c r="D216" s="43">
        <v>90</v>
      </c>
      <c r="E216" s="43">
        <v>97</v>
      </c>
      <c r="F216" s="44">
        <v>45261</v>
      </c>
    </row>
    <row r="217" spans="1:11" ht="21.6" thickBot="1" x14ac:dyDescent="0.35">
      <c r="A217" s="42">
        <v>1014</v>
      </c>
      <c r="B217" s="43" t="s">
        <v>23</v>
      </c>
      <c r="C217" s="43">
        <v>93</v>
      </c>
      <c r="D217" s="43">
        <v>40</v>
      </c>
      <c r="E217" s="43">
        <v>44</v>
      </c>
      <c r="F217" s="44">
        <v>45441</v>
      </c>
    </row>
    <row r="218" spans="1:11" ht="21.6" thickBot="1" x14ac:dyDescent="0.35">
      <c r="A218" s="42">
        <v>1015</v>
      </c>
      <c r="B218" s="43" t="s">
        <v>24</v>
      </c>
      <c r="C218" s="43">
        <v>70</v>
      </c>
      <c r="D218" s="43">
        <v>51</v>
      </c>
      <c r="E218" s="43">
        <v>75</v>
      </c>
      <c r="F218" s="44">
        <v>45621</v>
      </c>
    </row>
    <row r="219" spans="1:11" ht="21.6" thickBot="1" x14ac:dyDescent="0.35">
      <c r="A219" s="42">
        <v>1016</v>
      </c>
      <c r="B219" s="43" t="s">
        <v>25</v>
      </c>
      <c r="C219" s="43">
        <v>98</v>
      </c>
      <c r="D219" s="43">
        <v>77</v>
      </c>
      <c r="E219" s="43">
        <v>60</v>
      </c>
      <c r="F219" s="44">
        <v>45801</v>
      </c>
    </row>
    <row r="220" spans="1:11" ht="21.6" thickBot="1" x14ac:dyDescent="0.35">
      <c r="A220" s="42">
        <v>1017</v>
      </c>
      <c r="B220" s="43" t="s">
        <v>26</v>
      </c>
      <c r="C220" s="43">
        <v>66</v>
      </c>
      <c r="D220" s="43">
        <v>59</v>
      </c>
      <c r="E220" s="43">
        <v>40</v>
      </c>
      <c r="F220" s="44">
        <v>45981</v>
      </c>
    </row>
    <row r="221" spans="1:11" ht="21.6" thickBot="1" x14ac:dyDescent="0.35">
      <c r="A221" s="42">
        <v>1018</v>
      </c>
      <c r="B221" s="43" t="s">
        <v>27</v>
      </c>
      <c r="C221" s="43">
        <v>82</v>
      </c>
      <c r="D221" s="43">
        <v>48</v>
      </c>
      <c r="E221" s="43">
        <v>79</v>
      </c>
      <c r="F221" s="44">
        <v>46161</v>
      </c>
    </row>
    <row r="222" spans="1:11" ht="21.6" thickBot="1" x14ac:dyDescent="0.35">
      <c r="A222" s="42">
        <v>1019</v>
      </c>
      <c r="B222" s="43" t="s">
        <v>28</v>
      </c>
      <c r="C222" s="43">
        <v>90</v>
      </c>
      <c r="D222" s="43">
        <v>78</v>
      </c>
      <c r="E222" s="43">
        <v>60</v>
      </c>
      <c r="F222" s="44">
        <v>46341</v>
      </c>
    </row>
    <row r="223" spans="1:11" ht="21.6" thickBot="1" x14ac:dyDescent="0.35">
      <c r="A223" s="42">
        <v>1020</v>
      </c>
      <c r="B223" s="43" t="s">
        <v>29</v>
      </c>
      <c r="C223" s="43">
        <v>83</v>
      </c>
      <c r="D223" s="43">
        <v>92</v>
      </c>
      <c r="E223" s="43">
        <v>55</v>
      </c>
      <c r="F223" s="44">
        <v>46521</v>
      </c>
    </row>
    <row r="225" spans="1:9" ht="23.4" x14ac:dyDescent="0.3">
      <c r="A225" s="78" t="s">
        <v>114</v>
      </c>
      <c r="B225" s="79"/>
      <c r="C225" s="79"/>
      <c r="D225" s="79"/>
      <c r="E225" s="79"/>
      <c r="F225" s="79"/>
      <c r="G225" s="80"/>
    </row>
    <row r="226" spans="1:9" ht="23.4" x14ac:dyDescent="0.3">
      <c r="A226" s="86" t="s">
        <v>115</v>
      </c>
      <c r="B226" s="87"/>
      <c r="C226" s="87"/>
      <c r="D226" s="87"/>
      <c r="E226" s="87"/>
      <c r="F226" s="87"/>
      <c r="G226" s="88"/>
    </row>
    <row r="227" spans="1:9" ht="15" thickBot="1" x14ac:dyDescent="0.35"/>
    <row r="228" spans="1:9" ht="21.6" thickBot="1" x14ac:dyDescent="0.35">
      <c r="A228" s="40" t="s">
        <v>4</v>
      </c>
      <c r="B228" s="41" t="s">
        <v>5</v>
      </c>
      <c r="C228" s="41" t="s">
        <v>6</v>
      </c>
      <c r="D228" s="41" t="s">
        <v>7</v>
      </c>
      <c r="E228" s="41" t="s">
        <v>8</v>
      </c>
      <c r="F228" s="41" t="s">
        <v>9</v>
      </c>
    </row>
    <row r="229" spans="1:9" ht="21.6" thickBot="1" x14ac:dyDescent="0.35">
      <c r="A229" s="42">
        <v>1001</v>
      </c>
      <c r="B229" s="43" t="s">
        <v>10</v>
      </c>
      <c r="C229" s="43">
        <v>61</v>
      </c>
      <c r="D229" s="43">
        <v>48</v>
      </c>
      <c r="E229" s="43">
        <v>76</v>
      </c>
      <c r="F229" s="44">
        <v>43101</v>
      </c>
    </row>
    <row r="230" spans="1:9" ht="21.6" thickBot="1" x14ac:dyDescent="0.35">
      <c r="A230" s="42">
        <v>1002</v>
      </c>
      <c r="B230" s="43" t="s">
        <v>11</v>
      </c>
      <c r="C230" s="43">
        <v>78</v>
      </c>
      <c r="D230" s="43">
        <v>76</v>
      </c>
      <c r="E230" s="43">
        <v>70</v>
      </c>
      <c r="F230" s="44">
        <v>43281</v>
      </c>
    </row>
    <row r="231" spans="1:9" ht="21.6" thickBot="1" x14ac:dyDescent="0.35">
      <c r="A231" s="42">
        <v>1003</v>
      </c>
      <c r="B231" s="43" t="s">
        <v>12</v>
      </c>
      <c r="C231" s="43">
        <v>97</v>
      </c>
      <c r="D231" s="43">
        <v>60</v>
      </c>
      <c r="E231" s="43">
        <v>51</v>
      </c>
      <c r="F231" s="44">
        <v>43461</v>
      </c>
    </row>
    <row r="232" spans="1:9" ht="21.6" thickBot="1" x14ac:dyDescent="0.35">
      <c r="A232" s="42">
        <v>1004</v>
      </c>
      <c r="B232" s="43" t="s">
        <v>13</v>
      </c>
      <c r="C232" s="43">
        <v>74</v>
      </c>
      <c r="D232" s="43">
        <v>55</v>
      </c>
      <c r="E232" s="43">
        <v>46</v>
      </c>
      <c r="F232" s="44">
        <v>43641</v>
      </c>
    </row>
    <row r="233" spans="1:9" ht="21.6" thickBot="1" x14ac:dyDescent="0.35">
      <c r="A233" s="42">
        <v>1005</v>
      </c>
      <c r="B233" s="43" t="s">
        <v>14</v>
      </c>
      <c r="C233" s="43">
        <v>68</v>
      </c>
      <c r="D233" s="43">
        <v>74</v>
      </c>
      <c r="E233" s="43">
        <v>84</v>
      </c>
      <c r="F233" s="44">
        <v>43821</v>
      </c>
    </row>
    <row r="234" spans="1:9" ht="21.6" thickBot="1" x14ac:dyDescent="0.35">
      <c r="A234" s="42">
        <v>1006</v>
      </c>
      <c r="B234" s="43" t="s">
        <v>15</v>
      </c>
      <c r="C234" s="43">
        <v>80</v>
      </c>
      <c r="D234" s="43">
        <v>70</v>
      </c>
      <c r="E234" s="43">
        <v>65</v>
      </c>
      <c r="F234" s="44">
        <v>44001</v>
      </c>
    </row>
    <row r="235" spans="1:9" ht="21.6" thickBot="1" x14ac:dyDescent="0.35">
      <c r="A235" s="42">
        <v>1007</v>
      </c>
      <c r="B235" s="43" t="s">
        <v>16</v>
      </c>
      <c r="C235" s="43">
        <v>75</v>
      </c>
      <c r="D235" s="43">
        <v>47</v>
      </c>
      <c r="E235" s="43">
        <v>78</v>
      </c>
      <c r="F235" s="44">
        <v>44181</v>
      </c>
    </row>
    <row r="236" spans="1:9" ht="24" thickBot="1" x14ac:dyDescent="0.35">
      <c r="A236" s="42">
        <v>1008</v>
      </c>
      <c r="B236" s="43" t="s">
        <v>17</v>
      </c>
      <c r="C236" s="43">
        <v>94</v>
      </c>
      <c r="D236" s="43">
        <v>67</v>
      </c>
      <c r="E236" s="43">
        <v>64</v>
      </c>
      <c r="F236" s="44">
        <v>44361</v>
      </c>
      <c r="I236" s="13" t="str">
        <f>VLOOKUP(A212,A210:F230,2,FALSE)</f>
        <v>Student 9</v>
      </c>
    </row>
    <row r="237" spans="1:9" ht="24" thickBot="1" x14ac:dyDescent="0.35">
      <c r="A237" s="42">
        <v>1009</v>
      </c>
      <c r="B237" s="43" t="s">
        <v>18</v>
      </c>
      <c r="C237" s="43">
        <v>41</v>
      </c>
      <c r="D237" s="43">
        <v>75</v>
      </c>
      <c r="E237" s="43">
        <v>56</v>
      </c>
      <c r="F237" s="44">
        <v>44541</v>
      </c>
      <c r="I237" s="12"/>
    </row>
    <row r="238" spans="1:9" ht="24" thickBot="1" x14ac:dyDescent="0.35">
      <c r="A238" s="42">
        <v>1010</v>
      </c>
      <c r="B238" s="43" t="s">
        <v>19</v>
      </c>
      <c r="C238" s="43">
        <v>98</v>
      </c>
      <c r="D238" s="43">
        <v>54</v>
      </c>
      <c r="E238" s="43">
        <v>58</v>
      </c>
      <c r="F238" s="44">
        <v>44721</v>
      </c>
      <c r="I238" s="13" t="str">
        <f>VLOOKUP(A219,A210:E230,2,FALSE)</f>
        <v>Student 16</v>
      </c>
    </row>
    <row r="239" spans="1:9" ht="24" thickBot="1" x14ac:dyDescent="0.35">
      <c r="A239" s="42">
        <v>1011</v>
      </c>
      <c r="B239" s="43" t="s">
        <v>20</v>
      </c>
      <c r="C239" s="43">
        <v>73</v>
      </c>
      <c r="D239" s="43">
        <v>79</v>
      </c>
      <c r="E239" s="43">
        <v>53</v>
      </c>
      <c r="F239" s="44">
        <v>44901</v>
      </c>
      <c r="I239" s="12"/>
    </row>
    <row r="240" spans="1:9" ht="24" thickBot="1" x14ac:dyDescent="0.35">
      <c r="A240" s="42">
        <v>1012</v>
      </c>
      <c r="B240" s="43" t="s">
        <v>21</v>
      </c>
      <c r="C240" s="43">
        <v>85</v>
      </c>
      <c r="D240" s="43">
        <v>89</v>
      </c>
      <c r="E240" s="43">
        <v>79</v>
      </c>
      <c r="F240" s="44">
        <v>45081</v>
      </c>
      <c r="I240" s="13" t="str">
        <f>VLOOKUP(A222,A210:F230,2,TRUE)</f>
        <v>Student 2</v>
      </c>
    </row>
    <row r="241" spans="1:7" ht="21.6" thickBot="1" x14ac:dyDescent="0.35">
      <c r="A241" s="42">
        <v>1013</v>
      </c>
      <c r="B241" s="43" t="s">
        <v>22</v>
      </c>
      <c r="C241" s="43">
        <v>98</v>
      </c>
      <c r="D241" s="43">
        <v>90</v>
      </c>
      <c r="E241" s="43">
        <v>97</v>
      </c>
      <c r="F241" s="44">
        <v>45261</v>
      </c>
    </row>
    <row r="242" spans="1:7" ht="21.6" thickBot="1" x14ac:dyDescent="0.35">
      <c r="A242" s="42">
        <v>1014</v>
      </c>
      <c r="B242" s="43" t="s">
        <v>23</v>
      </c>
      <c r="C242" s="43">
        <v>93</v>
      </c>
      <c r="D242" s="43">
        <v>40</v>
      </c>
      <c r="E242" s="43">
        <v>44</v>
      </c>
      <c r="F242" s="44">
        <v>45441</v>
      </c>
    </row>
    <row r="243" spans="1:7" ht="21.6" thickBot="1" x14ac:dyDescent="0.35">
      <c r="A243" s="42">
        <v>1015</v>
      </c>
      <c r="B243" s="43" t="s">
        <v>24</v>
      </c>
      <c r="C243" s="43">
        <v>70</v>
      </c>
      <c r="D243" s="43">
        <v>51</v>
      </c>
      <c r="E243" s="43">
        <v>75</v>
      </c>
      <c r="F243" s="44">
        <v>45621</v>
      </c>
    </row>
    <row r="244" spans="1:7" ht="21.6" thickBot="1" x14ac:dyDescent="0.35">
      <c r="A244" s="42">
        <v>1016</v>
      </c>
      <c r="B244" s="43" t="s">
        <v>25</v>
      </c>
      <c r="C244" s="43">
        <v>98</v>
      </c>
      <c r="D244" s="43">
        <v>77</v>
      </c>
      <c r="E244" s="43">
        <v>60</v>
      </c>
      <c r="F244" s="44">
        <v>45801</v>
      </c>
    </row>
    <row r="245" spans="1:7" ht="21.6" thickBot="1" x14ac:dyDescent="0.35">
      <c r="A245" s="42">
        <v>1017</v>
      </c>
      <c r="B245" s="43" t="s">
        <v>26</v>
      </c>
      <c r="C245" s="43">
        <v>66</v>
      </c>
      <c r="D245" s="43">
        <v>59</v>
      </c>
      <c r="E245" s="43">
        <v>40</v>
      </c>
      <c r="F245" s="44">
        <v>45981</v>
      </c>
    </row>
    <row r="246" spans="1:7" ht="21.6" thickBot="1" x14ac:dyDescent="0.35">
      <c r="A246" s="42">
        <v>1018</v>
      </c>
      <c r="B246" s="43" t="s">
        <v>27</v>
      </c>
      <c r="C246" s="43">
        <v>82</v>
      </c>
      <c r="D246" s="43">
        <v>48</v>
      </c>
      <c r="E246" s="43">
        <v>79</v>
      </c>
      <c r="F246" s="44">
        <v>46161</v>
      </c>
    </row>
    <row r="247" spans="1:7" ht="21.6" thickBot="1" x14ac:dyDescent="0.35">
      <c r="A247" s="42">
        <v>1019</v>
      </c>
      <c r="B247" s="43" t="s">
        <v>28</v>
      </c>
      <c r="C247" s="43">
        <v>90</v>
      </c>
      <c r="D247" s="43">
        <v>78</v>
      </c>
      <c r="E247" s="43">
        <v>60</v>
      </c>
      <c r="F247" s="44">
        <v>46341</v>
      </c>
    </row>
    <row r="248" spans="1:7" ht="21.6" thickBot="1" x14ac:dyDescent="0.35">
      <c r="A248" s="42">
        <v>1020</v>
      </c>
      <c r="B248" s="43" t="s">
        <v>29</v>
      </c>
      <c r="C248" s="43">
        <v>83</v>
      </c>
      <c r="D248" s="43">
        <v>92</v>
      </c>
      <c r="E248" s="43">
        <v>55</v>
      </c>
      <c r="F248" s="44">
        <v>46521</v>
      </c>
    </row>
    <row r="250" spans="1:7" ht="23.4" x14ac:dyDescent="0.3">
      <c r="A250" s="89" t="s">
        <v>116</v>
      </c>
      <c r="B250" s="90"/>
      <c r="C250" s="90"/>
      <c r="D250" s="90"/>
      <c r="E250" s="90"/>
      <c r="F250" s="90"/>
      <c r="G250" s="91"/>
    </row>
    <row r="251" spans="1:7" ht="15" thickBot="1" x14ac:dyDescent="0.35"/>
    <row r="252" spans="1:7" ht="21.6" thickBot="1" x14ac:dyDescent="0.35">
      <c r="A252" s="40" t="s">
        <v>30</v>
      </c>
      <c r="B252" s="41" t="s">
        <v>31</v>
      </c>
      <c r="C252" s="41" t="s">
        <v>32</v>
      </c>
      <c r="D252" s="41" t="s">
        <v>33</v>
      </c>
      <c r="E252" s="41" t="s">
        <v>34</v>
      </c>
      <c r="F252" s="41" t="s">
        <v>35</v>
      </c>
    </row>
    <row r="253" spans="1:7" ht="21.6" thickBot="1" x14ac:dyDescent="0.35">
      <c r="A253" s="42">
        <v>2001</v>
      </c>
      <c r="B253" s="43" t="s">
        <v>36</v>
      </c>
      <c r="C253" s="43" t="s">
        <v>37</v>
      </c>
      <c r="D253" s="43" t="s">
        <v>38</v>
      </c>
      <c r="E253" s="43">
        <v>7048</v>
      </c>
      <c r="F253" s="44">
        <v>44927</v>
      </c>
    </row>
    <row r="254" spans="1:7" ht="21.6" thickBot="1" x14ac:dyDescent="0.35">
      <c r="A254" s="42">
        <v>2002</v>
      </c>
      <c r="B254" s="43" t="s">
        <v>39</v>
      </c>
      <c r="C254" s="43" t="s">
        <v>40</v>
      </c>
      <c r="D254" s="43" t="s">
        <v>41</v>
      </c>
      <c r="E254" s="43">
        <v>17428</v>
      </c>
      <c r="F254" s="44">
        <v>44942</v>
      </c>
    </row>
    <row r="255" spans="1:7" ht="21.6" thickBot="1" x14ac:dyDescent="0.35">
      <c r="A255" s="42">
        <v>2003</v>
      </c>
      <c r="B255" s="43" t="s">
        <v>42</v>
      </c>
      <c r="C255" s="43" t="s">
        <v>37</v>
      </c>
      <c r="D255" s="43" t="s">
        <v>43</v>
      </c>
      <c r="E255" s="43">
        <v>23672</v>
      </c>
      <c r="F255" s="44">
        <v>44957</v>
      </c>
    </row>
    <row r="256" spans="1:7" ht="21.6" thickBot="1" x14ac:dyDescent="0.35">
      <c r="A256" s="42">
        <v>2004</v>
      </c>
      <c r="B256" s="43" t="s">
        <v>39</v>
      </c>
      <c r="C256" s="43" t="s">
        <v>44</v>
      </c>
      <c r="D256" s="43" t="s">
        <v>45</v>
      </c>
      <c r="E256" s="43">
        <v>5264</v>
      </c>
      <c r="F256" s="44">
        <v>44972</v>
      </c>
    </row>
    <row r="257" spans="1:10" ht="21.6" thickBot="1" x14ac:dyDescent="0.35">
      <c r="A257" s="42">
        <v>2005</v>
      </c>
      <c r="B257" s="43" t="s">
        <v>36</v>
      </c>
      <c r="C257" s="43" t="s">
        <v>46</v>
      </c>
      <c r="D257" s="43" t="s">
        <v>47</v>
      </c>
      <c r="E257" s="43">
        <v>43388</v>
      </c>
      <c r="F257" s="44">
        <v>44987</v>
      </c>
    </row>
    <row r="258" spans="1:10" ht="21.6" thickBot="1" x14ac:dyDescent="0.35">
      <c r="A258" s="42">
        <v>2006</v>
      </c>
      <c r="B258" s="43" t="s">
        <v>42</v>
      </c>
      <c r="C258" s="43" t="s">
        <v>46</v>
      </c>
      <c r="D258" s="43" t="s">
        <v>48</v>
      </c>
      <c r="E258" s="43">
        <v>19757</v>
      </c>
      <c r="F258" s="44">
        <v>45002</v>
      </c>
    </row>
    <row r="259" spans="1:10" ht="21.6" thickBot="1" x14ac:dyDescent="0.35">
      <c r="A259" s="42">
        <v>2007</v>
      </c>
      <c r="B259" s="43" t="s">
        <v>42</v>
      </c>
      <c r="C259" s="43" t="s">
        <v>44</v>
      </c>
      <c r="D259" s="43" t="s">
        <v>49</v>
      </c>
      <c r="E259" s="43">
        <v>32058</v>
      </c>
      <c r="F259" s="44">
        <v>45017</v>
      </c>
    </row>
    <row r="260" spans="1:10" ht="21.6" thickBot="1" x14ac:dyDescent="0.35">
      <c r="A260" s="42">
        <v>2008</v>
      </c>
      <c r="B260" s="43" t="s">
        <v>36</v>
      </c>
      <c r="C260" s="43" t="s">
        <v>44</v>
      </c>
      <c r="D260" s="43" t="s">
        <v>50</v>
      </c>
      <c r="E260" s="43">
        <v>46429</v>
      </c>
      <c r="F260" s="44">
        <v>45032</v>
      </c>
    </row>
    <row r="261" spans="1:10" ht="21.6" thickBot="1" x14ac:dyDescent="0.35">
      <c r="A261" s="42">
        <v>2009</v>
      </c>
      <c r="B261" s="43" t="s">
        <v>39</v>
      </c>
      <c r="C261" s="43" t="s">
        <v>44</v>
      </c>
      <c r="D261" s="43" t="s">
        <v>51</v>
      </c>
      <c r="E261" s="43">
        <v>19746</v>
      </c>
      <c r="F261" s="44">
        <v>45047</v>
      </c>
    </row>
    <row r="262" spans="1:10" ht="24" thickBot="1" x14ac:dyDescent="0.35">
      <c r="A262" s="42">
        <v>2010</v>
      </c>
      <c r="B262" s="43" t="s">
        <v>36</v>
      </c>
      <c r="C262" s="43" t="s">
        <v>37</v>
      </c>
      <c r="D262" s="43" t="s">
        <v>52</v>
      </c>
      <c r="E262" s="43">
        <v>35185</v>
      </c>
      <c r="F262" s="44">
        <v>45062</v>
      </c>
      <c r="J262" s="13">
        <f>VLOOKUP(A244,A232:E252,5,FALSE)</f>
        <v>60</v>
      </c>
    </row>
    <row r="263" spans="1:10" ht="21.6" thickBot="1" x14ac:dyDescent="0.35">
      <c r="A263" s="42">
        <v>2011</v>
      </c>
      <c r="B263" s="43" t="s">
        <v>36</v>
      </c>
      <c r="C263" s="43" t="s">
        <v>44</v>
      </c>
      <c r="D263" s="43" t="s">
        <v>53</v>
      </c>
      <c r="E263" s="43">
        <v>33920</v>
      </c>
      <c r="F263" s="44">
        <v>45077</v>
      </c>
    </row>
    <row r="264" spans="1:10" ht="24" thickBot="1" x14ac:dyDescent="0.35">
      <c r="A264" s="42">
        <v>2012</v>
      </c>
      <c r="B264" s="43" t="s">
        <v>54</v>
      </c>
      <c r="C264" s="43" t="s">
        <v>46</v>
      </c>
      <c r="D264" s="43" t="s">
        <v>55</v>
      </c>
      <c r="E264" s="43">
        <v>35611</v>
      </c>
      <c r="F264" s="44">
        <v>45092</v>
      </c>
      <c r="J264" s="13">
        <f>VLOOKUP(A236,A232:E252,5,TRUE)</f>
        <v>64</v>
      </c>
    </row>
    <row r="265" spans="1:10" ht="21.6" thickBot="1" x14ac:dyDescent="0.35">
      <c r="A265" s="42">
        <v>2013</v>
      </c>
      <c r="B265" s="43" t="s">
        <v>56</v>
      </c>
      <c r="C265" s="43" t="s">
        <v>44</v>
      </c>
      <c r="D265" s="43" t="s">
        <v>57</v>
      </c>
      <c r="E265" s="43">
        <v>15560</v>
      </c>
      <c r="F265" s="44">
        <v>45107</v>
      </c>
    </row>
    <row r="266" spans="1:10" ht="21.6" thickBot="1" x14ac:dyDescent="0.35">
      <c r="A266" s="42">
        <v>2014</v>
      </c>
      <c r="B266" s="43" t="s">
        <v>56</v>
      </c>
      <c r="C266" s="43" t="s">
        <v>37</v>
      </c>
      <c r="D266" s="43" t="s">
        <v>58</v>
      </c>
      <c r="E266" s="43">
        <v>7283</v>
      </c>
      <c r="F266" s="44">
        <v>45122</v>
      </c>
    </row>
    <row r="267" spans="1:10" ht="21.6" thickBot="1" x14ac:dyDescent="0.35">
      <c r="A267" s="42">
        <v>2015</v>
      </c>
      <c r="B267" s="43" t="s">
        <v>56</v>
      </c>
      <c r="C267" s="43" t="s">
        <v>44</v>
      </c>
      <c r="D267" s="43" t="s">
        <v>59</v>
      </c>
      <c r="E267" s="43">
        <v>15678</v>
      </c>
      <c r="F267" s="44">
        <v>45137</v>
      </c>
    </row>
    <row r="268" spans="1:10" ht="21.6" thickBot="1" x14ac:dyDescent="0.35">
      <c r="A268" s="42">
        <v>2016</v>
      </c>
      <c r="B268" s="43" t="s">
        <v>42</v>
      </c>
      <c r="C268" s="43" t="s">
        <v>44</v>
      </c>
      <c r="D268" s="43" t="s">
        <v>60</v>
      </c>
      <c r="E268" s="43">
        <v>5277</v>
      </c>
      <c r="F268" s="44">
        <v>45152</v>
      </c>
    </row>
    <row r="269" spans="1:10" ht="21.6" thickBot="1" x14ac:dyDescent="0.35">
      <c r="A269" s="42">
        <v>2017</v>
      </c>
      <c r="B269" s="43" t="s">
        <v>54</v>
      </c>
      <c r="C269" s="43" t="s">
        <v>46</v>
      </c>
      <c r="D269" s="43" t="s">
        <v>61</v>
      </c>
      <c r="E269" s="43">
        <v>41871</v>
      </c>
      <c r="F269" s="44">
        <v>45167</v>
      </c>
    </row>
    <row r="270" spans="1:10" ht="21.6" thickBot="1" x14ac:dyDescent="0.35">
      <c r="A270" s="42">
        <v>2018</v>
      </c>
      <c r="B270" s="43" t="s">
        <v>54</v>
      </c>
      <c r="C270" s="43" t="s">
        <v>40</v>
      </c>
      <c r="D270" s="43" t="s">
        <v>62</v>
      </c>
      <c r="E270" s="43">
        <v>38161</v>
      </c>
      <c r="F270" s="44">
        <v>45182</v>
      </c>
    </row>
    <row r="271" spans="1:10" ht="21.6" thickBot="1" x14ac:dyDescent="0.35">
      <c r="A271" s="42">
        <v>2019</v>
      </c>
      <c r="B271" s="43" t="s">
        <v>42</v>
      </c>
      <c r="C271" s="43" t="s">
        <v>40</v>
      </c>
      <c r="D271" s="43" t="s">
        <v>63</v>
      </c>
      <c r="E271" s="43">
        <v>30436</v>
      </c>
      <c r="F271" s="44">
        <v>45197</v>
      </c>
    </row>
    <row r="272" spans="1:10" ht="21.6" thickBot="1" x14ac:dyDescent="0.35">
      <c r="A272" s="42">
        <v>2020</v>
      </c>
      <c r="B272" s="43" t="s">
        <v>39</v>
      </c>
      <c r="C272" s="43" t="s">
        <v>40</v>
      </c>
      <c r="D272" s="43" t="s">
        <v>64</v>
      </c>
      <c r="E272" s="43">
        <v>33953</v>
      </c>
      <c r="F272" s="44">
        <v>45212</v>
      </c>
    </row>
    <row r="274" spans="1:13" ht="23.4" x14ac:dyDescent="0.3">
      <c r="A274" s="92" t="s">
        <v>117</v>
      </c>
      <c r="B274" s="93"/>
      <c r="C274" s="93"/>
      <c r="D274" s="93"/>
      <c r="E274" s="93"/>
      <c r="F274" s="93"/>
      <c r="G274" s="94"/>
    </row>
    <row r="275" spans="1:13" ht="23.4" x14ac:dyDescent="0.3">
      <c r="A275" s="72" t="s">
        <v>118</v>
      </c>
      <c r="B275" s="72"/>
      <c r="C275" s="72"/>
      <c r="D275" s="72"/>
      <c r="E275" s="72"/>
      <c r="F275" s="72"/>
      <c r="G275" s="72"/>
    </row>
    <row r="276" spans="1:13" ht="15" thickBot="1" x14ac:dyDescent="0.35"/>
    <row r="277" spans="1:13" ht="21.6" thickBot="1" x14ac:dyDescent="0.35">
      <c r="A277" s="40" t="s">
        <v>30</v>
      </c>
      <c r="B277" s="41" t="s">
        <v>31</v>
      </c>
      <c r="C277" s="41" t="s">
        <v>32</v>
      </c>
      <c r="D277" s="41" t="s">
        <v>33</v>
      </c>
      <c r="E277" s="41" t="s">
        <v>34</v>
      </c>
      <c r="F277" s="41" t="s">
        <v>35</v>
      </c>
    </row>
    <row r="278" spans="1:13" ht="21.6" thickBot="1" x14ac:dyDescent="0.35">
      <c r="A278" s="42">
        <v>2001</v>
      </c>
      <c r="B278" s="43" t="s">
        <v>36</v>
      </c>
      <c r="C278" s="43" t="s">
        <v>37</v>
      </c>
      <c r="D278" s="43" t="s">
        <v>38</v>
      </c>
      <c r="E278" s="43">
        <v>7048</v>
      </c>
      <c r="F278" s="44">
        <v>44927</v>
      </c>
    </row>
    <row r="279" spans="1:13" ht="21.6" thickBot="1" x14ac:dyDescent="0.35">
      <c r="A279" s="42">
        <v>2002</v>
      </c>
      <c r="B279" s="43" t="s">
        <v>39</v>
      </c>
      <c r="C279" s="43" t="s">
        <v>40</v>
      </c>
      <c r="D279" s="43" t="s">
        <v>41</v>
      </c>
      <c r="E279" s="43">
        <v>17428</v>
      </c>
      <c r="F279" s="44">
        <v>44942</v>
      </c>
    </row>
    <row r="280" spans="1:13" ht="24" thickBot="1" x14ac:dyDescent="0.35">
      <c r="A280" s="42">
        <v>2003</v>
      </c>
      <c r="B280" s="43" t="s">
        <v>42</v>
      </c>
      <c r="C280" s="43" t="s">
        <v>37</v>
      </c>
      <c r="D280" s="43" t="s">
        <v>43</v>
      </c>
      <c r="E280" s="43">
        <v>23672</v>
      </c>
      <c r="F280" s="44">
        <v>44957</v>
      </c>
      <c r="I280" s="64" t="s">
        <v>119</v>
      </c>
    </row>
    <row r="281" spans="1:13" ht="24" thickBot="1" x14ac:dyDescent="0.35">
      <c r="A281" s="42">
        <v>2004</v>
      </c>
      <c r="B281" s="43" t="s">
        <v>39</v>
      </c>
      <c r="C281" s="43" t="s">
        <v>44</v>
      </c>
      <c r="D281" s="43" t="s">
        <v>45</v>
      </c>
      <c r="E281" s="43">
        <v>5264</v>
      </c>
      <c r="F281" s="44">
        <v>44972</v>
      </c>
      <c r="I281" s="65" t="e" cm="1">
        <f t="array" ref="I281">INDEX(E256:E275,MATCH(1,(D256:D275=D263)*(MONTH(F256:F275)=4),0))</f>
        <v>#N/A</v>
      </c>
      <c r="L281" s="18" t="s">
        <v>120</v>
      </c>
      <c r="M281" s="17" t="s">
        <v>121</v>
      </c>
    </row>
    <row r="282" spans="1:13" ht="21.6" thickBot="1" x14ac:dyDescent="0.35">
      <c r="A282" s="42">
        <v>2005</v>
      </c>
      <c r="B282" s="43" t="s">
        <v>36</v>
      </c>
      <c r="C282" s="43" t="s">
        <v>46</v>
      </c>
      <c r="D282" s="43" t="s">
        <v>47</v>
      </c>
      <c r="E282" s="43">
        <v>43388</v>
      </c>
      <c r="F282" s="44">
        <v>44987</v>
      </c>
    </row>
    <row r="283" spans="1:13" ht="21.6" thickBot="1" x14ac:dyDescent="0.35">
      <c r="A283" s="42">
        <v>2006</v>
      </c>
      <c r="B283" s="43" t="s">
        <v>42</v>
      </c>
      <c r="C283" s="43" t="s">
        <v>46</v>
      </c>
      <c r="D283" s="43" t="s">
        <v>48</v>
      </c>
      <c r="E283" s="43">
        <v>19757</v>
      </c>
      <c r="F283" s="44">
        <v>45002</v>
      </c>
    </row>
    <row r="284" spans="1:13" ht="21.6" thickBot="1" x14ac:dyDescent="0.35">
      <c r="A284" s="42">
        <v>2007</v>
      </c>
      <c r="B284" s="43" t="s">
        <v>42</v>
      </c>
      <c r="C284" s="43" t="s">
        <v>44</v>
      </c>
      <c r="D284" s="43" t="s">
        <v>49</v>
      </c>
      <c r="E284" s="43">
        <v>32058</v>
      </c>
      <c r="F284" s="44">
        <v>45017</v>
      </c>
    </row>
    <row r="285" spans="1:13" ht="21.6" thickBot="1" x14ac:dyDescent="0.35">
      <c r="A285" s="42">
        <v>2008</v>
      </c>
      <c r="B285" s="43" t="s">
        <v>36</v>
      </c>
      <c r="C285" s="43" t="s">
        <v>44</v>
      </c>
      <c r="D285" s="43" t="s">
        <v>50</v>
      </c>
      <c r="E285" s="43">
        <v>46429</v>
      </c>
      <c r="F285" s="44">
        <v>45032</v>
      </c>
    </row>
    <row r="286" spans="1:13" ht="21.6" thickBot="1" x14ac:dyDescent="0.35">
      <c r="A286" s="42">
        <v>2009</v>
      </c>
      <c r="B286" s="43" t="s">
        <v>39</v>
      </c>
      <c r="C286" s="43" t="s">
        <v>44</v>
      </c>
      <c r="D286" s="43" t="s">
        <v>51</v>
      </c>
      <c r="E286" s="43">
        <v>19746</v>
      </c>
      <c r="F286" s="44">
        <v>45047</v>
      </c>
    </row>
    <row r="287" spans="1:13" ht="21.6" thickBot="1" x14ac:dyDescent="0.35">
      <c r="A287" s="42">
        <v>2010</v>
      </c>
      <c r="B287" s="43" t="s">
        <v>36</v>
      </c>
      <c r="C287" s="43" t="s">
        <v>37</v>
      </c>
      <c r="D287" s="43" t="s">
        <v>52</v>
      </c>
      <c r="E287" s="43">
        <v>35185</v>
      </c>
      <c r="F287" s="44">
        <v>45062</v>
      </c>
    </row>
    <row r="288" spans="1:13" ht="21.6" thickBot="1" x14ac:dyDescent="0.35">
      <c r="A288" s="42">
        <v>2011</v>
      </c>
      <c r="B288" s="43" t="s">
        <v>36</v>
      </c>
      <c r="C288" s="43" t="s">
        <v>44</v>
      </c>
      <c r="D288" s="43" t="s">
        <v>53</v>
      </c>
      <c r="E288" s="43">
        <v>33920</v>
      </c>
      <c r="F288" s="44">
        <v>45077</v>
      </c>
    </row>
    <row r="289" spans="1:6" ht="21.6" thickBot="1" x14ac:dyDescent="0.35">
      <c r="A289" s="42">
        <v>2012</v>
      </c>
      <c r="B289" s="43" t="s">
        <v>54</v>
      </c>
      <c r="C289" s="43" t="s">
        <v>46</v>
      </c>
      <c r="D289" s="43" t="s">
        <v>55</v>
      </c>
      <c r="E289" s="43">
        <v>35611</v>
      </c>
      <c r="F289" s="44">
        <v>45092</v>
      </c>
    </row>
    <row r="290" spans="1:6" ht="21.6" thickBot="1" x14ac:dyDescent="0.35">
      <c r="A290" s="42">
        <v>2013</v>
      </c>
      <c r="B290" s="43" t="s">
        <v>56</v>
      </c>
      <c r="C290" s="43" t="s">
        <v>44</v>
      </c>
      <c r="D290" s="43" t="s">
        <v>57</v>
      </c>
      <c r="E290" s="43">
        <v>15560</v>
      </c>
      <c r="F290" s="44">
        <v>45107</v>
      </c>
    </row>
    <row r="291" spans="1:6" ht="21.6" thickBot="1" x14ac:dyDescent="0.35">
      <c r="A291" s="42">
        <v>2014</v>
      </c>
      <c r="B291" s="43" t="s">
        <v>56</v>
      </c>
      <c r="C291" s="43" t="s">
        <v>37</v>
      </c>
      <c r="D291" s="43" t="s">
        <v>58</v>
      </c>
      <c r="E291" s="43">
        <v>7283</v>
      </c>
      <c r="F291" s="44">
        <v>45122</v>
      </c>
    </row>
    <row r="292" spans="1:6" ht="21.6" thickBot="1" x14ac:dyDescent="0.35">
      <c r="A292" s="42">
        <v>2015</v>
      </c>
      <c r="B292" s="43" t="s">
        <v>56</v>
      </c>
      <c r="C292" s="43" t="s">
        <v>44</v>
      </c>
      <c r="D292" s="43" t="s">
        <v>59</v>
      </c>
      <c r="E292" s="43">
        <v>15678</v>
      </c>
      <c r="F292" s="44">
        <v>45137</v>
      </c>
    </row>
    <row r="293" spans="1:6" ht="21.6" thickBot="1" x14ac:dyDescent="0.35">
      <c r="A293" s="42">
        <v>2016</v>
      </c>
      <c r="B293" s="43" t="s">
        <v>42</v>
      </c>
      <c r="C293" s="43" t="s">
        <v>44</v>
      </c>
      <c r="D293" s="43" t="s">
        <v>60</v>
      </c>
      <c r="E293" s="43">
        <v>5277</v>
      </c>
      <c r="F293" s="44">
        <v>45152</v>
      </c>
    </row>
    <row r="294" spans="1:6" ht="21.6" thickBot="1" x14ac:dyDescent="0.35">
      <c r="A294" s="42">
        <v>2017</v>
      </c>
      <c r="B294" s="43" t="s">
        <v>54</v>
      </c>
      <c r="C294" s="43" t="s">
        <v>46</v>
      </c>
      <c r="D294" s="43" t="s">
        <v>61</v>
      </c>
      <c r="E294" s="43">
        <v>41871</v>
      </c>
      <c r="F294" s="44">
        <v>45167</v>
      </c>
    </row>
    <row r="295" spans="1:6" ht="21.6" thickBot="1" x14ac:dyDescent="0.35">
      <c r="A295" s="42">
        <v>2018</v>
      </c>
      <c r="B295" s="43" t="s">
        <v>54</v>
      </c>
      <c r="C295" s="43" t="s">
        <v>40</v>
      </c>
      <c r="D295" s="43" t="s">
        <v>62</v>
      </c>
      <c r="E295" s="43">
        <v>38161</v>
      </c>
      <c r="F295" s="44">
        <v>45182</v>
      </c>
    </row>
    <row r="296" spans="1:6" ht="21.6" thickBot="1" x14ac:dyDescent="0.35">
      <c r="A296" s="42">
        <v>2019</v>
      </c>
      <c r="B296" s="43" t="s">
        <v>42</v>
      </c>
      <c r="C296" s="43" t="s">
        <v>40</v>
      </c>
      <c r="D296" s="43" t="s">
        <v>63</v>
      </c>
      <c r="E296" s="43">
        <v>30436</v>
      </c>
      <c r="F296" s="44">
        <v>45197</v>
      </c>
    </row>
    <row r="297" spans="1:6" ht="21.6" thickBot="1" x14ac:dyDescent="0.35">
      <c r="A297" s="42">
        <v>2020</v>
      </c>
      <c r="B297" s="43" t="s">
        <v>39</v>
      </c>
      <c r="C297" s="43" t="s">
        <v>40</v>
      </c>
      <c r="D297" s="43" t="s">
        <v>64</v>
      </c>
      <c r="E297" s="43">
        <v>33953</v>
      </c>
      <c r="F297" s="44">
        <v>45212</v>
      </c>
    </row>
    <row r="299" spans="1:6" ht="23.4" x14ac:dyDescent="0.45">
      <c r="A299" s="95" t="s">
        <v>122</v>
      </c>
      <c r="B299" s="95"/>
      <c r="C299" s="95"/>
      <c r="D299" s="95"/>
      <c r="E299" s="95"/>
      <c r="F299" s="95"/>
    </row>
    <row r="300" spans="1:6" ht="15" thickBot="1" x14ac:dyDescent="0.35"/>
    <row r="301" spans="1:6" ht="21.6" thickBot="1" x14ac:dyDescent="0.35">
      <c r="A301" s="40" t="s">
        <v>65</v>
      </c>
      <c r="B301" s="41" t="s">
        <v>5</v>
      </c>
      <c r="C301" s="41" t="s">
        <v>66</v>
      </c>
      <c r="D301" s="41" t="s">
        <v>67</v>
      </c>
      <c r="E301" s="41" t="s">
        <v>68</v>
      </c>
    </row>
    <row r="302" spans="1:6" ht="21.6" thickBot="1" x14ac:dyDescent="0.35">
      <c r="A302" s="45">
        <v>3001</v>
      </c>
      <c r="B302" s="46" t="s">
        <v>69</v>
      </c>
      <c r="C302" s="46" t="s">
        <v>70</v>
      </c>
      <c r="D302" s="46">
        <v>86766</v>
      </c>
      <c r="E302" s="47">
        <v>42005</v>
      </c>
    </row>
    <row r="303" spans="1:6" ht="21.6" thickBot="1" x14ac:dyDescent="0.35">
      <c r="A303" s="45">
        <v>3002</v>
      </c>
      <c r="B303" s="46" t="s">
        <v>71</v>
      </c>
      <c r="C303" s="46" t="s">
        <v>70</v>
      </c>
      <c r="D303" s="46">
        <v>31943</v>
      </c>
      <c r="E303" s="47">
        <v>42255</v>
      </c>
    </row>
    <row r="304" spans="1:6" ht="21.6" thickBot="1" x14ac:dyDescent="0.35">
      <c r="A304" s="45">
        <v>3003</v>
      </c>
      <c r="B304" s="46" t="s">
        <v>72</v>
      </c>
      <c r="C304" s="46" t="s">
        <v>73</v>
      </c>
      <c r="D304" s="46">
        <v>63374</v>
      </c>
      <c r="E304" s="47">
        <v>42505</v>
      </c>
    </row>
    <row r="305" spans="1:5" ht="21.6" thickBot="1" x14ac:dyDescent="0.35">
      <c r="A305" s="45">
        <v>3004</v>
      </c>
      <c r="B305" s="46" t="s">
        <v>74</v>
      </c>
      <c r="C305" s="46" t="s">
        <v>70</v>
      </c>
      <c r="D305" s="46">
        <v>109972</v>
      </c>
      <c r="E305" s="47">
        <v>42755</v>
      </c>
    </row>
    <row r="306" spans="1:5" ht="21.6" thickBot="1" x14ac:dyDescent="0.35">
      <c r="A306" s="45">
        <v>3005</v>
      </c>
      <c r="B306" s="46" t="s">
        <v>75</v>
      </c>
      <c r="C306" s="46" t="s">
        <v>76</v>
      </c>
      <c r="D306" s="46">
        <v>54149</v>
      </c>
      <c r="E306" s="47">
        <v>43005</v>
      </c>
    </row>
    <row r="307" spans="1:5" ht="21.6" thickBot="1" x14ac:dyDescent="0.35">
      <c r="A307" s="45">
        <v>3006</v>
      </c>
      <c r="B307" s="46" t="s">
        <v>77</v>
      </c>
      <c r="C307" s="46" t="s">
        <v>76</v>
      </c>
      <c r="D307" s="46">
        <v>78689</v>
      </c>
      <c r="E307" s="47">
        <v>43255</v>
      </c>
    </row>
    <row r="308" spans="1:5" ht="21.6" thickBot="1" x14ac:dyDescent="0.35">
      <c r="A308" s="45">
        <v>3007</v>
      </c>
      <c r="B308" s="46" t="s">
        <v>78</v>
      </c>
      <c r="C308" s="46" t="s">
        <v>79</v>
      </c>
      <c r="D308" s="46">
        <v>35960</v>
      </c>
      <c r="E308" s="47">
        <v>43505</v>
      </c>
    </row>
    <row r="309" spans="1:5" ht="21.6" thickBot="1" x14ac:dyDescent="0.35">
      <c r="A309" s="45">
        <v>3008</v>
      </c>
      <c r="B309" s="46" t="s">
        <v>80</v>
      </c>
      <c r="C309" s="46" t="s">
        <v>76</v>
      </c>
      <c r="D309" s="46">
        <v>91659</v>
      </c>
      <c r="E309" s="47">
        <v>43755</v>
      </c>
    </row>
    <row r="310" spans="1:5" ht="21.6" thickBot="1" x14ac:dyDescent="0.35">
      <c r="A310" s="45">
        <v>3009</v>
      </c>
      <c r="B310" s="46" t="s">
        <v>81</v>
      </c>
      <c r="C310" s="46" t="s">
        <v>76</v>
      </c>
      <c r="D310" s="46">
        <v>90423</v>
      </c>
      <c r="E310" s="47">
        <v>44005</v>
      </c>
    </row>
    <row r="311" spans="1:5" ht="21.6" thickBot="1" x14ac:dyDescent="0.35">
      <c r="A311" s="45">
        <v>3010</v>
      </c>
      <c r="B311" s="46" t="s">
        <v>82</v>
      </c>
      <c r="C311" s="46" t="s">
        <v>73</v>
      </c>
      <c r="D311" s="46">
        <v>107877</v>
      </c>
      <c r="E311" s="47">
        <v>44255</v>
      </c>
    </row>
    <row r="312" spans="1:5" ht="21.6" thickBot="1" x14ac:dyDescent="0.35">
      <c r="A312" s="45">
        <v>3011</v>
      </c>
      <c r="B312" s="46" t="s">
        <v>83</v>
      </c>
      <c r="C312" s="46" t="s">
        <v>70</v>
      </c>
      <c r="D312" s="46">
        <v>107634</v>
      </c>
      <c r="E312" s="47">
        <v>44505</v>
      </c>
    </row>
    <row r="313" spans="1:5" ht="21.6" thickBot="1" x14ac:dyDescent="0.35">
      <c r="A313" s="45">
        <v>3012</v>
      </c>
      <c r="B313" s="46" t="s">
        <v>84</v>
      </c>
      <c r="C313" s="46" t="s">
        <v>70</v>
      </c>
      <c r="D313" s="46">
        <v>35226</v>
      </c>
      <c r="E313" s="47">
        <v>44755</v>
      </c>
    </row>
    <row r="314" spans="1:5" ht="21.6" thickBot="1" x14ac:dyDescent="0.35">
      <c r="A314" s="45">
        <v>3013</v>
      </c>
      <c r="B314" s="46" t="s">
        <v>85</v>
      </c>
      <c r="C314" s="46" t="s">
        <v>73</v>
      </c>
      <c r="D314" s="46">
        <v>40872</v>
      </c>
      <c r="E314" s="47">
        <v>45005</v>
      </c>
    </row>
    <row r="315" spans="1:5" ht="21.6" thickBot="1" x14ac:dyDescent="0.35">
      <c r="A315" s="45">
        <v>3014</v>
      </c>
      <c r="B315" s="46" t="s">
        <v>86</v>
      </c>
      <c r="C315" s="46" t="s">
        <v>73</v>
      </c>
      <c r="D315" s="46">
        <v>55378</v>
      </c>
      <c r="E315" s="47">
        <v>45255</v>
      </c>
    </row>
    <row r="316" spans="1:5" ht="21.6" thickBot="1" x14ac:dyDescent="0.35">
      <c r="A316" s="45">
        <v>3015</v>
      </c>
      <c r="B316" s="46" t="s">
        <v>87</v>
      </c>
      <c r="C316" s="46" t="s">
        <v>73</v>
      </c>
      <c r="D316" s="46">
        <v>63297</v>
      </c>
      <c r="E316" s="47">
        <v>45505</v>
      </c>
    </row>
    <row r="317" spans="1:5" ht="21.6" thickBot="1" x14ac:dyDescent="0.35">
      <c r="A317" s="45">
        <v>3016</v>
      </c>
      <c r="B317" s="46" t="s">
        <v>88</v>
      </c>
      <c r="C317" s="46" t="s">
        <v>70</v>
      </c>
      <c r="D317" s="46">
        <v>114173</v>
      </c>
      <c r="E317" s="47">
        <v>45755</v>
      </c>
    </row>
    <row r="318" spans="1:5" ht="21.6" thickBot="1" x14ac:dyDescent="0.35">
      <c r="A318" s="45">
        <v>3017</v>
      </c>
      <c r="B318" s="46" t="s">
        <v>89</v>
      </c>
      <c r="C318" s="46" t="s">
        <v>73</v>
      </c>
      <c r="D318" s="46">
        <v>86915</v>
      </c>
      <c r="E318" s="47">
        <v>46005</v>
      </c>
    </row>
    <row r="319" spans="1:5" ht="21.6" thickBot="1" x14ac:dyDescent="0.35">
      <c r="A319" s="45">
        <v>3018</v>
      </c>
      <c r="B319" s="46" t="s">
        <v>90</v>
      </c>
      <c r="C319" s="46" t="s">
        <v>76</v>
      </c>
      <c r="D319" s="46">
        <v>116284</v>
      </c>
      <c r="E319" s="47">
        <v>46255</v>
      </c>
    </row>
    <row r="320" spans="1:5" ht="21.6" thickBot="1" x14ac:dyDescent="0.35">
      <c r="A320" s="45">
        <v>3019</v>
      </c>
      <c r="B320" s="46" t="s">
        <v>91</v>
      </c>
      <c r="C320" s="46" t="s">
        <v>79</v>
      </c>
      <c r="D320" s="46">
        <v>116283</v>
      </c>
      <c r="E320" s="47">
        <v>46505</v>
      </c>
    </row>
    <row r="321" spans="1:5" ht="21.6" thickBot="1" x14ac:dyDescent="0.35">
      <c r="A321" s="45">
        <v>3020</v>
      </c>
      <c r="B321" s="46" t="s">
        <v>92</v>
      </c>
      <c r="C321" s="46" t="s">
        <v>79</v>
      </c>
      <c r="D321" s="46">
        <v>99924</v>
      </c>
      <c r="E321" s="47">
        <v>46755</v>
      </c>
    </row>
    <row r="323" spans="1:5" ht="23.4" x14ac:dyDescent="0.3">
      <c r="A323" s="92" t="s">
        <v>123</v>
      </c>
      <c r="B323" s="93"/>
      <c r="C323" s="93"/>
      <c r="D323" s="93"/>
      <c r="E323" s="93"/>
    </row>
    <row r="324" spans="1:5" ht="23.4" x14ac:dyDescent="0.45">
      <c r="A324" s="85" t="s">
        <v>124</v>
      </c>
      <c r="B324" s="85"/>
      <c r="C324" s="85"/>
      <c r="D324" s="85"/>
      <c r="E324" s="85"/>
    </row>
    <row r="326" spans="1:5" ht="21" x14ac:dyDescent="0.3">
      <c r="A326" s="48" t="s">
        <v>125</v>
      </c>
      <c r="B326" s="48" t="s">
        <v>126</v>
      </c>
    </row>
    <row r="327" spans="1:5" ht="21" x14ac:dyDescent="0.3">
      <c r="A327" s="49" t="s">
        <v>127</v>
      </c>
      <c r="B327" s="49" t="str">
        <f>LEFT(A327, FIND(" ",A327)-1)</f>
        <v>Kripal</v>
      </c>
    </row>
    <row r="328" spans="1:5" ht="21" x14ac:dyDescent="0.3">
      <c r="A328" s="49" t="s">
        <v>128</v>
      </c>
      <c r="B328" s="49" t="str">
        <f t="shared" ref="B328:B330" si="11">LEFT(A328, FIND(" ",A328)-1)</f>
        <v>Sandipsinh</v>
      </c>
    </row>
    <row r="329" spans="1:5" ht="21" x14ac:dyDescent="0.3">
      <c r="A329" s="49" t="s">
        <v>129</v>
      </c>
      <c r="B329" s="49" t="str">
        <f t="shared" si="11"/>
        <v>Meet</v>
      </c>
    </row>
    <row r="330" spans="1:5" ht="21" x14ac:dyDescent="0.3">
      <c r="A330" s="49" t="s">
        <v>130</v>
      </c>
      <c r="B330" s="49" t="str">
        <f t="shared" si="11"/>
        <v>Nirav</v>
      </c>
    </row>
    <row r="332" spans="1:5" ht="23.4" x14ac:dyDescent="0.45">
      <c r="A332" s="85" t="s">
        <v>131</v>
      </c>
      <c r="B332" s="85"/>
      <c r="C332" s="85"/>
      <c r="D332" s="85"/>
      <c r="E332" s="85"/>
    </row>
    <row r="334" spans="1:5" ht="21" x14ac:dyDescent="0.4">
      <c r="A334" s="48" t="s">
        <v>125</v>
      </c>
      <c r="B334" s="52" t="s">
        <v>132</v>
      </c>
      <c r="C334" s="52" t="s">
        <v>133</v>
      </c>
    </row>
    <row r="335" spans="1:5" ht="21" x14ac:dyDescent="0.4">
      <c r="A335" s="49" t="s">
        <v>127</v>
      </c>
      <c r="B335" s="53" t="str">
        <f>UPPER((A335))</f>
        <v>KRIPAL PRAJAPATI</v>
      </c>
      <c r="C335" s="53" t="str">
        <f>LOWER(A335)</f>
        <v>kripal prajapati</v>
      </c>
    </row>
    <row r="336" spans="1:5" ht="21" x14ac:dyDescent="0.4">
      <c r="A336" s="49" t="s">
        <v>128</v>
      </c>
      <c r="B336" s="53" t="str">
        <f t="shared" ref="B336:B338" si="12">UPPER((A336))</f>
        <v>SANDIPSINH ZALA</v>
      </c>
      <c r="C336" s="53" t="str">
        <f t="shared" ref="C336:C338" si="13">LOWER(A336)</f>
        <v>sandipsinh zala</v>
      </c>
    </row>
    <row r="337" spans="1:13" ht="21" x14ac:dyDescent="0.4">
      <c r="A337" s="49" t="s">
        <v>129</v>
      </c>
      <c r="B337" s="53" t="str">
        <f t="shared" si="12"/>
        <v>MEET PRAJAPATI</v>
      </c>
      <c r="C337" s="53" t="str">
        <f t="shared" si="13"/>
        <v>meet prajapati</v>
      </c>
    </row>
    <row r="338" spans="1:13" ht="21" x14ac:dyDescent="0.4">
      <c r="A338" s="49" t="s">
        <v>130</v>
      </c>
      <c r="B338" s="53" t="str">
        <f t="shared" si="12"/>
        <v>NIRAV PANKUTA</v>
      </c>
      <c r="C338" s="53" t="str">
        <f t="shared" si="13"/>
        <v>nirav pankuta</v>
      </c>
    </row>
    <row r="340" spans="1:13" ht="23.4" x14ac:dyDescent="0.3">
      <c r="A340" s="96" t="s">
        <v>134</v>
      </c>
      <c r="B340" s="96"/>
      <c r="C340" s="96"/>
      <c r="D340" s="96"/>
      <c r="E340" s="96"/>
    </row>
    <row r="341" spans="1:13" ht="23.4" x14ac:dyDescent="0.45">
      <c r="A341" s="85" t="s">
        <v>135</v>
      </c>
      <c r="B341" s="85"/>
      <c r="C341" s="85"/>
      <c r="D341" s="85"/>
      <c r="E341" s="85"/>
    </row>
    <row r="342" spans="1:13" ht="15" thickBot="1" x14ac:dyDescent="0.35"/>
    <row r="343" spans="1:13" ht="21.6" thickBot="1" x14ac:dyDescent="0.35">
      <c r="A343" s="40" t="s">
        <v>30</v>
      </c>
      <c r="B343" s="41" t="s">
        <v>31</v>
      </c>
      <c r="C343" s="41" t="s">
        <v>32</v>
      </c>
      <c r="D343" s="41" t="s">
        <v>33</v>
      </c>
      <c r="E343" s="41" t="s">
        <v>34</v>
      </c>
      <c r="F343" s="41" t="s">
        <v>35</v>
      </c>
    </row>
    <row r="344" spans="1:13" ht="21.6" thickBot="1" x14ac:dyDescent="0.35">
      <c r="A344" s="42">
        <v>2001</v>
      </c>
      <c r="B344" s="43" t="s">
        <v>36</v>
      </c>
      <c r="C344" s="43" t="s">
        <v>37</v>
      </c>
      <c r="D344" s="43" t="s">
        <v>38</v>
      </c>
      <c r="E344" s="43">
        <v>7048</v>
      </c>
      <c r="F344" s="44">
        <v>44927</v>
      </c>
    </row>
    <row r="345" spans="1:13" ht="21.6" thickBot="1" x14ac:dyDescent="0.35">
      <c r="A345" s="42">
        <v>2002</v>
      </c>
      <c r="B345" s="43" t="s">
        <v>39</v>
      </c>
      <c r="C345" s="43" t="s">
        <v>40</v>
      </c>
      <c r="D345" s="43" t="s">
        <v>41</v>
      </c>
      <c r="E345" s="43">
        <v>17428</v>
      </c>
      <c r="F345" s="44">
        <v>44942</v>
      </c>
    </row>
    <row r="346" spans="1:13" ht="21.6" thickBot="1" x14ac:dyDescent="0.35">
      <c r="A346" s="42">
        <v>2003</v>
      </c>
      <c r="B346" s="43" t="s">
        <v>42</v>
      </c>
      <c r="C346" s="43" t="s">
        <v>37</v>
      </c>
      <c r="D346" s="43" t="s">
        <v>43</v>
      </c>
      <c r="E346" s="43">
        <v>23672</v>
      </c>
      <c r="F346" s="44">
        <v>44957</v>
      </c>
    </row>
    <row r="347" spans="1:13" ht="24" thickBot="1" x14ac:dyDescent="0.35">
      <c r="A347" s="42">
        <v>2004</v>
      </c>
      <c r="B347" s="43" t="s">
        <v>39</v>
      </c>
      <c r="C347" s="43" t="s">
        <v>44</v>
      </c>
      <c r="D347" s="43" t="s">
        <v>45</v>
      </c>
      <c r="E347" s="43">
        <v>5264</v>
      </c>
      <c r="F347" s="44">
        <v>44972</v>
      </c>
      <c r="H347" s="50" t="s">
        <v>136</v>
      </c>
      <c r="I347" s="50" t="s">
        <v>38</v>
      </c>
      <c r="J347" s="51" t="str">
        <f>_xlfn.XLOOKUP(I347,D344:D363,D344:D363)</f>
        <v>Person 1</v>
      </c>
      <c r="K347" s="14"/>
      <c r="L347" s="15" t="s">
        <v>120</v>
      </c>
      <c r="M347" s="16" t="s">
        <v>137</v>
      </c>
    </row>
    <row r="348" spans="1:13" ht="24" thickBot="1" x14ac:dyDescent="0.35">
      <c r="A348" s="42">
        <v>2005</v>
      </c>
      <c r="B348" s="43" t="s">
        <v>36</v>
      </c>
      <c r="C348" s="43" t="s">
        <v>46</v>
      </c>
      <c r="D348" s="43" t="s">
        <v>47</v>
      </c>
      <c r="E348" s="43">
        <v>43388</v>
      </c>
      <c r="F348" s="44">
        <v>44987</v>
      </c>
      <c r="H348" s="50" t="s">
        <v>136</v>
      </c>
      <c r="I348" s="50" t="s">
        <v>62</v>
      </c>
      <c r="J348" s="51" t="str">
        <f>_xlfn.XLOOKUP(I348,D344:D363,D344:D363)</f>
        <v>Person 18</v>
      </c>
      <c r="K348" s="14"/>
      <c r="L348" s="15" t="s">
        <v>120</v>
      </c>
      <c r="M348" s="16" t="s">
        <v>138</v>
      </c>
    </row>
    <row r="349" spans="1:13" ht="21.6" thickBot="1" x14ac:dyDescent="0.35">
      <c r="A349" s="42">
        <v>2006</v>
      </c>
      <c r="B349" s="43" t="s">
        <v>42</v>
      </c>
      <c r="C349" s="43" t="s">
        <v>46</v>
      </c>
      <c r="D349" s="43" t="s">
        <v>48</v>
      </c>
      <c r="E349" s="43">
        <v>19757</v>
      </c>
      <c r="F349" s="44">
        <v>45002</v>
      </c>
    </row>
    <row r="350" spans="1:13" ht="21.6" thickBot="1" x14ac:dyDescent="0.35">
      <c r="A350" s="42">
        <v>2007</v>
      </c>
      <c r="B350" s="43" t="s">
        <v>42</v>
      </c>
      <c r="C350" s="43" t="s">
        <v>44</v>
      </c>
      <c r="D350" s="43" t="s">
        <v>49</v>
      </c>
      <c r="E350" s="43">
        <v>32058</v>
      </c>
      <c r="F350" s="44">
        <v>45017</v>
      </c>
    </row>
    <row r="351" spans="1:13" ht="21.6" thickBot="1" x14ac:dyDescent="0.35">
      <c r="A351" s="42">
        <v>2008</v>
      </c>
      <c r="B351" s="43" t="s">
        <v>36</v>
      </c>
      <c r="C351" s="43" t="s">
        <v>44</v>
      </c>
      <c r="D351" s="43" t="s">
        <v>50</v>
      </c>
      <c r="E351" s="43">
        <v>46429</v>
      </c>
      <c r="F351" s="44">
        <v>45032</v>
      </c>
    </row>
    <row r="352" spans="1:13" ht="21.6" thickBot="1" x14ac:dyDescent="0.35">
      <c r="A352" s="42">
        <v>2009</v>
      </c>
      <c r="B352" s="43" t="s">
        <v>39</v>
      </c>
      <c r="C352" s="43" t="s">
        <v>44</v>
      </c>
      <c r="D352" s="43" t="s">
        <v>51</v>
      </c>
      <c r="E352" s="43">
        <v>19746</v>
      </c>
      <c r="F352" s="44">
        <v>45047</v>
      </c>
    </row>
    <row r="353" spans="1:8" ht="21.6" thickBot="1" x14ac:dyDescent="0.35">
      <c r="A353" s="42">
        <v>2010</v>
      </c>
      <c r="B353" s="43" t="s">
        <v>36</v>
      </c>
      <c r="C353" s="43" t="s">
        <v>37</v>
      </c>
      <c r="D353" s="43" t="s">
        <v>52</v>
      </c>
      <c r="E353" s="43">
        <v>35185</v>
      </c>
      <c r="F353" s="44">
        <v>45062</v>
      </c>
    </row>
    <row r="354" spans="1:8" ht="21.6" thickBot="1" x14ac:dyDescent="0.35">
      <c r="A354" s="42">
        <v>2011</v>
      </c>
      <c r="B354" s="43" t="s">
        <v>36</v>
      </c>
      <c r="C354" s="43" t="s">
        <v>44</v>
      </c>
      <c r="D354" s="43" t="s">
        <v>53</v>
      </c>
      <c r="E354" s="43">
        <v>33920</v>
      </c>
      <c r="F354" s="44">
        <v>45077</v>
      </c>
    </row>
    <row r="355" spans="1:8" ht="21.6" thickBot="1" x14ac:dyDescent="0.35">
      <c r="A355" s="42">
        <v>2012</v>
      </c>
      <c r="B355" s="43" t="s">
        <v>54</v>
      </c>
      <c r="C355" s="43" t="s">
        <v>46</v>
      </c>
      <c r="D355" s="43" t="s">
        <v>55</v>
      </c>
      <c r="E355" s="43">
        <v>35611</v>
      </c>
      <c r="F355" s="44">
        <v>45092</v>
      </c>
    </row>
    <row r="356" spans="1:8" ht="21.6" thickBot="1" x14ac:dyDescent="0.35">
      <c r="A356" s="42">
        <v>2013</v>
      </c>
      <c r="B356" s="43" t="s">
        <v>56</v>
      </c>
      <c r="C356" s="43" t="s">
        <v>44</v>
      </c>
      <c r="D356" s="43" t="s">
        <v>57</v>
      </c>
      <c r="E356" s="43">
        <v>15560</v>
      </c>
      <c r="F356" s="44">
        <v>45107</v>
      </c>
    </row>
    <row r="357" spans="1:8" ht="21.6" thickBot="1" x14ac:dyDescent="0.35">
      <c r="A357" s="42">
        <v>2014</v>
      </c>
      <c r="B357" s="43" t="s">
        <v>56</v>
      </c>
      <c r="C357" s="43" t="s">
        <v>37</v>
      </c>
      <c r="D357" s="43" t="s">
        <v>58</v>
      </c>
      <c r="E357" s="43">
        <v>7283</v>
      </c>
      <c r="F357" s="44">
        <v>45122</v>
      </c>
    </row>
    <row r="358" spans="1:8" ht="21.6" thickBot="1" x14ac:dyDescent="0.35">
      <c r="A358" s="42">
        <v>2015</v>
      </c>
      <c r="B358" s="43" t="s">
        <v>56</v>
      </c>
      <c r="C358" s="43" t="s">
        <v>44</v>
      </c>
      <c r="D358" s="43" t="s">
        <v>59</v>
      </c>
      <c r="E358" s="43">
        <v>15678</v>
      </c>
      <c r="F358" s="44">
        <v>45137</v>
      </c>
    </row>
    <row r="359" spans="1:8" ht="21.6" thickBot="1" x14ac:dyDescent="0.35">
      <c r="A359" s="42">
        <v>2016</v>
      </c>
      <c r="B359" s="43" t="s">
        <v>42</v>
      </c>
      <c r="C359" s="43" t="s">
        <v>44</v>
      </c>
      <c r="D359" s="43" t="s">
        <v>60</v>
      </c>
      <c r="E359" s="43">
        <v>5277</v>
      </c>
      <c r="F359" s="44">
        <v>45152</v>
      </c>
    </row>
    <row r="360" spans="1:8" ht="21.6" thickBot="1" x14ac:dyDescent="0.35">
      <c r="A360" s="42">
        <v>2017</v>
      </c>
      <c r="B360" s="43" t="s">
        <v>54</v>
      </c>
      <c r="C360" s="43" t="s">
        <v>46</v>
      </c>
      <c r="D360" s="43" t="s">
        <v>61</v>
      </c>
      <c r="E360" s="43">
        <v>41871</v>
      </c>
      <c r="F360" s="44">
        <v>45167</v>
      </c>
    </row>
    <row r="361" spans="1:8" ht="21.6" thickBot="1" x14ac:dyDescent="0.35">
      <c r="A361" s="42">
        <v>2018</v>
      </c>
      <c r="B361" s="43" t="s">
        <v>54</v>
      </c>
      <c r="C361" s="43" t="s">
        <v>40</v>
      </c>
      <c r="D361" s="43" t="s">
        <v>62</v>
      </c>
      <c r="E361" s="43">
        <v>38161</v>
      </c>
      <c r="F361" s="44">
        <v>45182</v>
      </c>
    </row>
    <row r="362" spans="1:8" ht="21.6" thickBot="1" x14ac:dyDescent="0.35">
      <c r="A362" s="42">
        <v>2019</v>
      </c>
      <c r="B362" s="43" t="s">
        <v>42</v>
      </c>
      <c r="C362" s="43" t="s">
        <v>40</v>
      </c>
      <c r="D362" s="43" t="s">
        <v>63</v>
      </c>
      <c r="E362" s="43">
        <v>30436</v>
      </c>
      <c r="F362" s="44">
        <v>45197</v>
      </c>
    </row>
    <row r="363" spans="1:8" ht="21.6" thickBot="1" x14ac:dyDescent="0.35">
      <c r="A363" s="42">
        <v>2020</v>
      </c>
      <c r="B363" s="43" t="s">
        <v>39</v>
      </c>
      <c r="C363" s="43" t="s">
        <v>40</v>
      </c>
      <c r="D363" s="43" t="s">
        <v>64</v>
      </c>
      <c r="E363" s="43">
        <v>33953</v>
      </c>
      <c r="F363" s="44">
        <v>45212</v>
      </c>
    </row>
    <row r="365" spans="1:8" ht="23.4" x14ac:dyDescent="0.45">
      <c r="A365" s="85" t="s">
        <v>139</v>
      </c>
      <c r="B365" s="85"/>
      <c r="C365" s="85"/>
      <c r="D365" s="85"/>
      <c r="E365" s="85"/>
    </row>
    <row r="366" spans="1:8" ht="15" thickBot="1" x14ac:dyDescent="0.35"/>
    <row r="367" spans="1:8" ht="21.6" thickBot="1" x14ac:dyDescent="0.35">
      <c r="A367" s="40" t="s">
        <v>30</v>
      </c>
      <c r="B367" s="41" t="s">
        <v>31</v>
      </c>
      <c r="C367" s="41" t="s">
        <v>32</v>
      </c>
      <c r="D367" s="41" t="s">
        <v>33</v>
      </c>
      <c r="E367" s="41" t="s">
        <v>34</v>
      </c>
      <c r="F367" s="54" t="s">
        <v>35</v>
      </c>
      <c r="G367" s="33" t="s">
        <v>140</v>
      </c>
      <c r="H367" s="33" t="s">
        <v>141</v>
      </c>
    </row>
    <row r="368" spans="1:8" ht="21.6" thickBot="1" x14ac:dyDescent="0.35">
      <c r="A368" s="42">
        <v>2001</v>
      </c>
      <c r="B368" s="43" t="s">
        <v>36</v>
      </c>
      <c r="C368" s="43" t="s">
        <v>37</v>
      </c>
      <c r="D368" s="43" t="s">
        <v>38</v>
      </c>
      <c r="E368" s="43">
        <v>7048</v>
      </c>
      <c r="F368" s="55">
        <v>44927</v>
      </c>
      <c r="G368" s="34">
        <v>2005</v>
      </c>
      <c r="H368" s="34" t="str">
        <f>_xlfn.XLOOKUP(G368,A368:A387,D368:D387)</f>
        <v>Person 5</v>
      </c>
    </row>
    <row r="369" spans="1:8" ht="21.6" thickBot="1" x14ac:dyDescent="0.35">
      <c r="A369" s="42">
        <v>2002</v>
      </c>
      <c r="B369" s="43" t="s">
        <v>39</v>
      </c>
      <c r="C369" s="43" t="s">
        <v>40</v>
      </c>
      <c r="D369" s="43" t="s">
        <v>41</v>
      </c>
      <c r="E369" s="43">
        <v>17428</v>
      </c>
      <c r="F369" s="55">
        <v>44942</v>
      </c>
      <c r="G369" s="34">
        <v>2020</v>
      </c>
      <c r="H369" s="34" t="str">
        <f t="shared" ref="H369:H370" si="14">_xlfn.XLOOKUP(G369,A369:A388,D369:D388)</f>
        <v>Person 20</v>
      </c>
    </row>
    <row r="370" spans="1:8" ht="21.6" thickBot="1" x14ac:dyDescent="0.35">
      <c r="A370" s="42">
        <v>2003</v>
      </c>
      <c r="B370" s="43" t="s">
        <v>42</v>
      </c>
      <c r="C370" s="43" t="s">
        <v>37</v>
      </c>
      <c r="D370" s="43" t="s">
        <v>43</v>
      </c>
      <c r="E370" s="43">
        <v>23672</v>
      </c>
      <c r="F370" s="55">
        <v>44957</v>
      </c>
      <c r="G370" s="34">
        <v>2011</v>
      </c>
      <c r="H370" s="34" t="str">
        <f t="shared" si="14"/>
        <v>Person 11</v>
      </c>
    </row>
    <row r="371" spans="1:8" ht="21.6" thickBot="1" x14ac:dyDescent="0.35">
      <c r="A371" s="42">
        <v>2004</v>
      </c>
      <c r="B371" s="43" t="s">
        <v>39</v>
      </c>
      <c r="C371" s="43" t="s">
        <v>44</v>
      </c>
      <c r="D371" s="43" t="s">
        <v>45</v>
      </c>
      <c r="E371" s="43">
        <v>5264</v>
      </c>
      <c r="F371" s="44">
        <v>44972</v>
      </c>
    </row>
    <row r="372" spans="1:8" ht="21.6" thickBot="1" x14ac:dyDescent="0.35">
      <c r="A372" s="42">
        <v>2005</v>
      </c>
      <c r="B372" s="43" t="s">
        <v>36</v>
      </c>
      <c r="C372" s="43" t="s">
        <v>46</v>
      </c>
      <c r="D372" s="43" t="s">
        <v>47</v>
      </c>
      <c r="E372" s="43">
        <v>43388</v>
      </c>
      <c r="F372" s="44">
        <v>44987</v>
      </c>
    </row>
    <row r="373" spans="1:8" ht="21.6" thickBot="1" x14ac:dyDescent="0.35">
      <c r="A373" s="42">
        <v>2006</v>
      </c>
      <c r="B373" s="43" t="s">
        <v>42</v>
      </c>
      <c r="C373" s="43" t="s">
        <v>46</v>
      </c>
      <c r="D373" s="43" t="s">
        <v>48</v>
      </c>
      <c r="E373" s="43">
        <v>19757</v>
      </c>
      <c r="F373" s="44">
        <v>45002</v>
      </c>
    </row>
    <row r="374" spans="1:8" ht="21.6" thickBot="1" x14ac:dyDescent="0.35">
      <c r="A374" s="42">
        <v>2007</v>
      </c>
      <c r="B374" s="43" t="s">
        <v>42</v>
      </c>
      <c r="C374" s="43" t="s">
        <v>44</v>
      </c>
      <c r="D374" s="43" t="s">
        <v>49</v>
      </c>
      <c r="E374" s="43">
        <v>32058</v>
      </c>
      <c r="F374" s="44">
        <v>45017</v>
      </c>
    </row>
    <row r="375" spans="1:8" ht="21.6" thickBot="1" x14ac:dyDescent="0.35">
      <c r="A375" s="42">
        <v>2008</v>
      </c>
      <c r="B375" s="43" t="s">
        <v>36</v>
      </c>
      <c r="C375" s="43" t="s">
        <v>44</v>
      </c>
      <c r="D375" s="43" t="s">
        <v>50</v>
      </c>
      <c r="E375" s="43">
        <v>46429</v>
      </c>
      <c r="F375" s="44">
        <v>45032</v>
      </c>
    </row>
    <row r="376" spans="1:8" ht="21.6" thickBot="1" x14ac:dyDescent="0.35">
      <c r="A376" s="42">
        <v>2009</v>
      </c>
      <c r="B376" s="43" t="s">
        <v>39</v>
      </c>
      <c r="C376" s="43" t="s">
        <v>44</v>
      </c>
      <c r="D376" s="43" t="s">
        <v>51</v>
      </c>
      <c r="E376" s="43">
        <v>19746</v>
      </c>
      <c r="F376" s="44">
        <v>45047</v>
      </c>
    </row>
    <row r="377" spans="1:8" ht="21.6" thickBot="1" x14ac:dyDescent="0.35">
      <c r="A377" s="42">
        <v>2010</v>
      </c>
      <c r="B377" s="43" t="s">
        <v>36</v>
      </c>
      <c r="C377" s="43" t="s">
        <v>37</v>
      </c>
      <c r="D377" s="43" t="s">
        <v>52</v>
      </c>
      <c r="E377" s="43">
        <v>35185</v>
      </c>
      <c r="F377" s="44">
        <v>45062</v>
      </c>
    </row>
    <row r="378" spans="1:8" ht="21.6" thickBot="1" x14ac:dyDescent="0.35">
      <c r="A378" s="42">
        <v>2011</v>
      </c>
      <c r="B378" s="43" t="s">
        <v>36</v>
      </c>
      <c r="C378" s="43" t="s">
        <v>44</v>
      </c>
      <c r="D378" s="43" t="s">
        <v>53</v>
      </c>
      <c r="E378" s="43">
        <v>33920</v>
      </c>
      <c r="F378" s="44">
        <v>45077</v>
      </c>
    </row>
    <row r="379" spans="1:8" ht="21.6" thickBot="1" x14ac:dyDescent="0.35">
      <c r="A379" s="42">
        <v>2012</v>
      </c>
      <c r="B379" s="43" t="s">
        <v>54</v>
      </c>
      <c r="C379" s="43" t="s">
        <v>46</v>
      </c>
      <c r="D379" s="43" t="s">
        <v>55</v>
      </c>
      <c r="E379" s="43">
        <v>35611</v>
      </c>
      <c r="F379" s="44">
        <v>45092</v>
      </c>
    </row>
    <row r="380" spans="1:8" ht="21.6" thickBot="1" x14ac:dyDescent="0.35">
      <c r="A380" s="42">
        <v>2013</v>
      </c>
      <c r="B380" s="43" t="s">
        <v>56</v>
      </c>
      <c r="C380" s="43" t="s">
        <v>44</v>
      </c>
      <c r="D380" s="43" t="s">
        <v>57</v>
      </c>
      <c r="E380" s="43">
        <v>15560</v>
      </c>
      <c r="F380" s="44">
        <v>45107</v>
      </c>
    </row>
    <row r="381" spans="1:8" ht="21.6" thickBot="1" x14ac:dyDescent="0.35">
      <c r="A381" s="42">
        <v>2014</v>
      </c>
      <c r="B381" s="43" t="s">
        <v>56</v>
      </c>
      <c r="C381" s="43" t="s">
        <v>37</v>
      </c>
      <c r="D381" s="43" t="s">
        <v>58</v>
      </c>
      <c r="E381" s="43">
        <v>7283</v>
      </c>
      <c r="F381" s="44">
        <v>45122</v>
      </c>
    </row>
    <row r="382" spans="1:8" ht="21.6" thickBot="1" x14ac:dyDescent="0.35">
      <c r="A382" s="42">
        <v>2015</v>
      </c>
      <c r="B382" s="43" t="s">
        <v>56</v>
      </c>
      <c r="C382" s="43" t="s">
        <v>44</v>
      </c>
      <c r="D382" s="43" t="s">
        <v>59</v>
      </c>
      <c r="E382" s="43">
        <v>15678</v>
      </c>
      <c r="F382" s="44">
        <v>45137</v>
      </c>
    </row>
    <row r="383" spans="1:8" ht="21.6" thickBot="1" x14ac:dyDescent="0.35">
      <c r="A383" s="42">
        <v>2016</v>
      </c>
      <c r="B383" s="43" t="s">
        <v>42</v>
      </c>
      <c r="C383" s="43" t="s">
        <v>44</v>
      </c>
      <c r="D383" s="43" t="s">
        <v>60</v>
      </c>
      <c r="E383" s="43">
        <v>5277</v>
      </c>
      <c r="F383" s="44">
        <v>45152</v>
      </c>
    </row>
    <row r="384" spans="1:8" ht="21.6" thickBot="1" x14ac:dyDescent="0.35">
      <c r="A384" s="42">
        <v>2017</v>
      </c>
      <c r="B384" s="43" t="s">
        <v>54</v>
      </c>
      <c r="C384" s="43" t="s">
        <v>46</v>
      </c>
      <c r="D384" s="43" t="s">
        <v>61</v>
      </c>
      <c r="E384" s="43">
        <v>41871</v>
      </c>
      <c r="F384" s="44">
        <v>45167</v>
      </c>
    </row>
    <row r="385" spans="1:8" ht="21.6" thickBot="1" x14ac:dyDescent="0.35">
      <c r="A385" s="42">
        <v>2018</v>
      </c>
      <c r="B385" s="43" t="s">
        <v>54</v>
      </c>
      <c r="C385" s="43" t="s">
        <v>40</v>
      </c>
      <c r="D385" s="43" t="s">
        <v>62</v>
      </c>
      <c r="E385" s="43">
        <v>38161</v>
      </c>
      <c r="F385" s="44">
        <v>45182</v>
      </c>
    </row>
    <row r="386" spans="1:8" ht="21.6" thickBot="1" x14ac:dyDescent="0.35">
      <c r="A386" s="42">
        <v>2019</v>
      </c>
      <c r="B386" s="43" t="s">
        <v>42</v>
      </c>
      <c r="C386" s="43" t="s">
        <v>40</v>
      </c>
      <c r="D386" s="43" t="s">
        <v>63</v>
      </c>
      <c r="E386" s="43">
        <v>30436</v>
      </c>
      <c r="F386" s="44">
        <v>45197</v>
      </c>
    </row>
    <row r="387" spans="1:8" ht="21.6" thickBot="1" x14ac:dyDescent="0.35">
      <c r="A387" s="42">
        <v>2020</v>
      </c>
      <c r="B387" s="43" t="s">
        <v>39</v>
      </c>
      <c r="C387" s="43" t="s">
        <v>40</v>
      </c>
      <c r="D387" s="43" t="s">
        <v>64</v>
      </c>
      <c r="E387" s="43">
        <v>33953</v>
      </c>
      <c r="F387" s="44">
        <v>45212</v>
      </c>
    </row>
    <row r="389" spans="1:8" ht="23.4" x14ac:dyDescent="0.3">
      <c r="A389" s="96" t="s">
        <v>142</v>
      </c>
      <c r="B389" s="96"/>
      <c r="C389" s="96"/>
      <c r="D389" s="96"/>
      <c r="E389" s="96"/>
    </row>
    <row r="390" spans="1:8" ht="23.4" x14ac:dyDescent="0.45">
      <c r="A390" s="85" t="s">
        <v>143</v>
      </c>
      <c r="B390" s="85"/>
      <c r="C390" s="85"/>
      <c r="D390" s="85"/>
      <c r="E390" s="85"/>
    </row>
    <row r="391" spans="1:8" ht="15" thickBot="1" x14ac:dyDescent="0.35"/>
    <row r="392" spans="1:8" ht="42.6" thickBot="1" x14ac:dyDescent="0.35">
      <c r="A392" s="40" t="s">
        <v>30</v>
      </c>
      <c r="B392" s="41" t="s">
        <v>31</v>
      </c>
      <c r="C392" s="41" t="s">
        <v>32</v>
      </c>
      <c r="D392" s="41" t="s">
        <v>33</v>
      </c>
      <c r="E392" s="41" t="s">
        <v>34</v>
      </c>
      <c r="F392" s="54" t="s">
        <v>35</v>
      </c>
      <c r="G392" s="33" t="s">
        <v>144</v>
      </c>
      <c r="H392" s="33" t="s">
        <v>145</v>
      </c>
    </row>
    <row r="393" spans="1:8" ht="21.6" thickBot="1" x14ac:dyDescent="0.35">
      <c r="A393" s="42">
        <v>2001</v>
      </c>
      <c r="B393" s="43" t="s">
        <v>36</v>
      </c>
      <c r="C393" s="43" t="s">
        <v>37</v>
      </c>
      <c r="D393" s="43" t="s">
        <v>38</v>
      </c>
      <c r="E393" s="43">
        <v>7048</v>
      </c>
      <c r="F393" s="55">
        <v>44927</v>
      </c>
      <c r="G393" s="28" t="s">
        <v>36</v>
      </c>
      <c r="H393" s="34">
        <f>_xlfn.XMATCH(G393,B393:B412,0)</f>
        <v>1</v>
      </c>
    </row>
    <row r="394" spans="1:8" ht="21.6" thickBot="1" x14ac:dyDescent="0.35">
      <c r="A394" s="42">
        <v>2002</v>
      </c>
      <c r="B394" s="43" t="s">
        <v>39</v>
      </c>
      <c r="C394" s="43" t="s">
        <v>40</v>
      </c>
      <c r="D394" s="43" t="s">
        <v>41</v>
      </c>
      <c r="E394" s="43">
        <v>17428</v>
      </c>
      <c r="F394" s="55">
        <v>44942</v>
      </c>
      <c r="G394" s="28" t="s">
        <v>39</v>
      </c>
      <c r="H394" s="34">
        <f t="shared" ref="H394:H396" si="15">_xlfn.XMATCH(G394,B394:B413,0)</f>
        <v>1</v>
      </c>
    </row>
    <row r="395" spans="1:8" ht="21.6" thickBot="1" x14ac:dyDescent="0.35">
      <c r="A395" s="42">
        <v>2003</v>
      </c>
      <c r="B395" s="43" t="s">
        <v>42</v>
      </c>
      <c r="C395" s="43" t="s">
        <v>37</v>
      </c>
      <c r="D395" s="43" t="s">
        <v>43</v>
      </c>
      <c r="E395" s="43">
        <v>23672</v>
      </c>
      <c r="F395" s="55">
        <v>44957</v>
      </c>
      <c r="G395" s="28" t="s">
        <v>42</v>
      </c>
      <c r="H395" s="34">
        <f t="shared" si="15"/>
        <v>1</v>
      </c>
    </row>
    <row r="396" spans="1:8" ht="21.6" thickBot="1" x14ac:dyDescent="0.35">
      <c r="A396" s="42">
        <v>2004</v>
      </c>
      <c r="B396" s="43" t="s">
        <v>39</v>
      </c>
      <c r="C396" s="43" t="s">
        <v>44</v>
      </c>
      <c r="D396" s="43" t="s">
        <v>45</v>
      </c>
      <c r="E396" s="43">
        <v>5264</v>
      </c>
      <c r="F396" s="55">
        <v>44972</v>
      </c>
      <c r="G396" s="28" t="s">
        <v>56</v>
      </c>
      <c r="H396" s="34">
        <f t="shared" si="15"/>
        <v>10</v>
      </c>
    </row>
    <row r="397" spans="1:8" ht="21.6" thickBot="1" x14ac:dyDescent="0.35">
      <c r="A397" s="42">
        <v>2005</v>
      </c>
      <c r="B397" s="43" t="s">
        <v>36</v>
      </c>
      <c r="C397" s="43" t="s">
        <v>46</v>
      </c>
      <c r="D397" s="43" t="s">
        <v>47</v>
      </c>
      <c r="E397" s="43">
        <v>43388</v>
      </c>
      <c r="F397" s="44">
        <v>44987</v>
      </c>
    </row>
    <row r="398" spans="1:8" ht="21.6" thickBot="1" x14ac:dyDescent="0.35">
      <c r="A398" s="42">
        <v>2006</v>
      </c>
      <c r="B398" s="43" t="s">
        <v>42</v>
      </c>
      <c r="C398" s="43" t="s">
        <v>46</v>
      </c>
      <c r="D398" s="43" t="s">
        <v>48</v>
      </c>
      <c r="E398" s="43">
        <v>19757</v>
      </c>
      <c r="F398" s="44">
        <v>45002</v>
      </c>
    </row>
    <row r="399" spans="1:8" ht="21.6" thickBot="1" x14ac:dyDescent="0.35">
      <c r="A399" s="42">
        <v>2007</v>
      </c>
      <c r="B399" s="43" t="s">
        <v>42</v>
      </c>
      <c r="C399" s="43" t="s">
        <v>44</v>
      </c>
      <c r="D399" s="43" t="s">
        <v>49</v>
      </c>
      <c r="E399" s="43">
        <v>32058</v>
      </c>
      <c r="F399" s="44">
        <v>45017</v>
      </c>
    </row>
    <row r="400" spans="1:8" ht="21.6" thickBot="1" x14ac:dyDescent="0.35">
      <c r="A400" s="42">
        <v>2008</v>
      </c>
      <c r="B400" s="43" t="s">
        <v>36</v>
      </c>
      <c r="C400" s="43" t="s">
        <v>44</v>
      </c>
      <c r="D400" s="43" t="s">
        <v>50</v>
      </c>
      <c r="E400" s="43">
        <v>46429</v>
      </c>
      <c r="F400" s="44">
        <v>45032</v>
      </c>
    </row>
    <row r="401" spans="1:6" ht="21.6" thickBot="1" x14ac:dyDescent="0.35">
      <c r="A401" s="42">
        <v>2009</v>
      </c>
      <c r="B401" s="43" t="s">
        <v>39</v>
      </c>
      <c r="C401" s="43" t="s">
        <v>44</v>
      </c>
      <c r="D401" s="43" t="s">
        <v>51</v>
      </c>
      <c r="E401" s="43">
        <v>19746</v>
      </c>
      <c r="F401" s="44">
        <v>45047</v>
      </c>
    </row>
    <row r="402" spans="1:6" ht="21.6" thickBot="1" x14ac:dyDescent="0.35">
      <c r="A402" s="42">
        <v>2010</v>
      </c>
      <c r="B402" s="43" t="s">
        <v>36</v>
      </c>
      <c r="C402" s="43" t="s">
        <v>37</v>
      </c>
      <c r="D402" s="43" t="s">
        <v>52</v>
      </c>
      <c r="E402" s="43">
        <v>35185</v>
      </c>
      <c r="F402" s="44">
        <v>45062</v>
      </c>
    </row>
    <row r="403" spans="1:6" ht="21.6" thickBot="1" x14ac:dyDescent="0.35">
      <c r="A403" s="42">
        <v>2011</v>
      </c>
      <c r="B403" s="43" t="s">
        <v>36</v>
      </c>
      <c r="C403" s="43" t="s">
        <v>44</v>
      </c>
      <c r="D403" s="43" t="s">
        <v>53</v>
      </c>
      <c r="E403" s="43">
        <v>33920</v>
      </c>
      <c r="F403" s="44">
        <v>45077</v>
      </c>
    </row>
    <row r="404" spans="1:6" ht="21.6" thickBot="1" x14ac:dyDescent="0.35">
      <c r="A404" s="42">
        <v>2012</v>
      </c>
      <c r="B404" s="43" t="s">
        <v>54</v>
      </c>
      <c r="C404" s="43" t="s">
        <v>46</v>
      </c>
      <c r="D404" s="43" t="s">
        <v>55</v>
      </c>
      <c r="E404" s="43">
        <v>35611</v>
      </c>
      <c r="F404" s="44">
        <v>45092</v>
      </c>
    </row>
    <row r="405" spans="1:6" ht="21.6" thickBot="1" x14ac:dyDescent="0.35">
      <c r="A405" s="42">
        <v>2013</v>
      </c>
      <c r="B405" s="43" t="s">
        <v>56</v>
      </c>
      <c r="C405" s="43" t="s">
        <v>44</v>
      </c>
      <c r="D405" s="43" t="s">
        <v>57</v>
      </c>
      <c r="E405" s="43">
        <v>15560</v>
      </c>
      <c r="F405" s="44">
        <v>45107</v>
      </c>
    </row>
    <row r="406" spans="1:6" ht="21.6" thickBot="1" x14ac:dyDescent="0.35">
      <c r="A406" s="42">
        <v>2014</v>
      </c>
      <c r="B406" s="43" t="s">
        <v>56</v>
      </c>
      <c r="C406" s="43" t="s">
        <v>37</v>
      </c>
      <c r="D406" s="43" t="s">
        <v>58</v>
      </c>
      <c r="E406" s="43">
        <v>7283</v>
      </c>
      <c r="F406" s="44">
        <v>45122</v>
      </c>
    </row>
    <row r="407" spans="1:6" ht="21.6" thickBot="1" x14ac:dyDescent="0.35">
      <c r="A407" s="42">
        <v>2015</v>
      </c>
      <c r="B407" s="43" t="s">
        <v>56</v>
      </c>
      <c r="C407" s="43" t="s">
        <v>44</v>
      </c>
      <c r="D407" s="43" t="s">
        <v>59</v>
      </c>
      <c r="E407" s="43">
        <v>15678</v>
      </c>
      <c r="F407" s="44">
        <v>45137</v>
      </c>
    </row>
    <row r="408" spans="1:6" ht="21.6" thickBot="1" x14ac:dyDescent="0.35">
      <c r="A408" s="42">
        <v>2016</v>
      </c>
      <c r="B408" s="43" t="s">
        <v>42</v>
      </c>
      <c r="C408" s="43" t="s">
        <v>44</v>
      </c>
      <c r="D408" s="43" t="s">
        <v>60</v>
      </c>
      <c r="E408" s="43">
        <v>5277</v>
      </c>
      <c r="F408" s="44">
        <v>45152</v>
      </c>
    </row>
    <row r="409" spans="1:6" ht="21.6" thickBot="1" x14ac:dyDescent="0.35">
      <c r="A409" s="42">
        <v>2017</v>
      </c>
      <c r="B409" s="43" t="s">
        <v>54</v>
      </c>
      <c r="C409" s="43" t="s">
        <v>46</v>
      </c>
      <c r="D409" s="43" t="s">
        <v>61</v>
      </c>
      <c r="E409" s="43">
        <v>41871</v>
      </c>
      <c r="F409" s="44">
        <v>45167</v>
      </c>
    </row>
    <row r="410" spans="1:6" ht="21.6" thickBot="1" x14ac:dyDescent="0.35">
      <c r="A410" s="42">
        <v>2018</v>
      </c>
      <c r="B410" s="43" t="s">
        <v>54</v>
      </c>
      <c r="C410" s="43" t="s">
        <v>40</v>
      </c>
      <c r="D410" s="43" t="s">
        <v>62</v>
      </c>
      <c r="E410" s="43">
        <v>38161</v>
      </c>
      <c r="F410" s="44">
        <v>45182</v>
      </c>
    </row>
    <row r="411" spans="1:6" ht="21.6" thickBot="1" x14ac:dyDescent="0.35">
      <c r="A411" s="42">
        <v>2019</v>
      </c>
      <c r="B411" s="43" t="s">
        <v>42</v>
      </c>
      <c r="C411" s="43" t="s">
        <v>40</v>
      </c>
      <c r="D411" s="43" t="s">
        <v>63</v>
      </c>
      <c r="E411" s="43">
        <v>30436</v>
      </c>
      <c r="F411" s="44">
        <v>45197</v>
      </c>
    </row>
    <row r="412" spans="1:6" ht="21.6" thickBot="1" x14ac:dyDescent="0.35">
      <c r="A412" s="42">
        <v>2020</v>
      </c>
      <c r="B412" s="43" t="s">
        <v>39</v>
      </c>
      <c r="C412" s="43" t="s">
        <v>40</v>
      </c>
      <c r="D412" s="43" t="s">
        <v>64</v>
      </c>
      <c r="E412" s="43">
        <v>33953</v>
      </c>
      <c r="F412" s="44">
        <v>45212</v>
      </c>
    </row>
    <row r="414" spans="1:6" ht="23.4" x14ac:dyDescent="0.3">
      <c r="A414" s="96" t="s">
        <v>146</v>
      </c>
      <c r="B414" s="96"/>
      <c r="C414" s="96"/>
      <c r="D414" s="96"/>
      <c r="E414" s="96"/>
    </row>
    <row r="415" spans="1:6" ht="23.4" x14ac:dyDescent="0.45">
      <c r="A415" s="85" t="s">
        <v>147</v>
      </c>
      <c r="B415" s="85"/>
      <c r="C415" s="85"/>
      <c r="D415" s="85"/>
      <c r="E415" s="85"/>
    </row>
    <row r="416" spans="1:6" ht="15" thickBot="1" x14ac:dyDescent="0.35"/>
    <row r="417" spans="1:11" ht="21.6" thickBot="1" x14ac:dyDescent="0.35">
      <c r="A417" s="40" t="s">
        <v>30</v>
      </c>
      <c r="B417" s="41" t="s">
        <v>31</v>
      </c>
      <c r="C417" s="41" t="s">
        <v>32</v>
      </c>
      <c r="D417" s="41" t="s">
        <v>33</v>
      </c>
      <c r="E417" s="41" t="s">
        <v>34</v>
      </c>
      <c r="F417" s="54" t="s">
        <v>35</v>
      </c>
      <c r="G417" s="33" t="s">
        <v>148</v>
      </c>
      <c r="H417" s="33" t="s">
        <v>149</v>
      </c>
    </row>
    <row r="418" spans="1:11" ht="24" thickBot="1" x14ac:dyDescent="0.45">
      <c r="A418" s="42">
        <v>2001</v>
      </c>
      <c r="B418" s="43" t="s">
        <v>36</v>
      </c>
      <c r="C418" s="43" t="s">
        <v>37</v>
      </c>
      <c r="D418" s="43" t="s">
        <v>38</v>
      </c>
      <c r="E418" s="43">
        <v>7048</v>
      </c>
      <c r="F418" s="55">
        <v>44927</v>
      </c>
      <c r="G418" s="28" t="s">
        <v>31</v>
      </c>
      <c r="H418" s="56" t="e" cm="1">
        <f t="array" aca="1" ref="H418" ca="1">INDIRECT(G418)</f>
        <v>#REF!</v>
      </c>
      <c r="J418" s="62" t="s">
        <v>120</v>
      </c>
      <c r="K418" s="63" t="s">
        <v>150</v>
      </c>
    </row>
    <row r="419" spans="1:11" ht="21.6" thickBot="1" x14ac:dyDescent="0.35">
      <c r="A419" s="42">
        <v>2002</v>
      </c>
      <c r="B419" s="43" t="s">
        <v>39</v>
      </c>
      <c r="C419" s="43" t="s">
        <v>40</v>
      </c>
      <c r="D419" s="43" t="s">
        <v>41</v>
      </c>
      <c r="E419" s="43">
        <v>17428</v>
      </c>
      <c r="F419" s="44">
        <v>44942</v>
      </c>
    </row>
    <row r="420" spans="1:11" ht="21.6" thickBot="1" x14ac:dyDescent="0.35">
      <c r="A420" s="42">
        <v>2003</v>
      </c>
      <c r="B420" s="43" t="s">
        <v>42</v>
      </c>
      <c r="C420" s="43" t="s">
        <v>37</v>
      </c>
      <c r="D420" s="43" t="s">
        <v>43</v>
      </c>
      <c r="E420" s="43">
        <v>23672</v>
      </c>
      <c r="F420" s="44">
        <v>44957</v>
      </c>
    </row>
    <row r="421" spans="1:11" ht="21.6" thickBot="1" x14ac:dyDescent="0.35">
      <c r="A421" s="42">
        <v>2004</v>
      </c>
      <c r="B421" s="43" t="s">
        <v>39</v>
      </c>
      <c r="C421" s="43" t="s">
        <v>44</v>
      </c>
      <c r="D421" s="43" t="s">
        <v>45</v>
      </c>
      <c r="E421" s="43">
        <v>5264</v>
      </c>
      <c r="F421" s="44">
        <v>44972</v>
      </c>
    </row>
    <row r="422" spans="1:11" ht="21.6" thickBot="1" x14ac:dyDescent="0.35">
      <c r="A422" s="42">
        <v>2005</v>
      </c>
      <c r="B422" s="43" t="s">
        <v>36</v>
      </c>
      <c r="C422" s="43" t="s">
        <v>46</v>
      </c>
      <c r="D422" s="43" t="s">
        <v>47</v>
      </c>
      <c r="E422" s="43">
        <v>43388</v>
      </c>
      <c r="F422" s="44">
        <v>44987</v>
      </c>
    </row>
    <row r="423" spans="1:11" ht="21.6" thickBot="1" x14ac:dyDescent="0.35">
      <c r="A423" s="42">
        <v>2006</v>
      </c>
      <c r="B423" s="43" t="s">
        <v>42</v>
      </c>
      <c r="C423" s="43" t="s">
        <v>46</v>
      </c>
      <c r="D423" s="43" t="s">
        <v>48</v>
      </c>
      <c r="E423" s="43">
        <v>19757</v>
      </c>
      <c r="F423" s="44">
        <v>45002</v>
      </c>
    </row>
    <row r="424" spans="1:11" ht="21.6" thickBot="1" x14ac:dyDescent="0.35">
      <c r="A424" s="42">
        <v>2007</v>
      </c>
      <c r="B424" s="43" t="s">
        <v>42</v>
      </c>
      <c r="C424" s="43" t="s">
        <v>44</v>
      </c>
      <c r="D424" s="43" t="s">
        <v>49</v>
      </c>
      <c r="E424" s="43">
        <v>32058</v>
      </c>
      <c r="F424" s="44">
        <v>45017</v>
      </c>
    </row>
    <row r="425" spans="1:11" ht="21.6" thickBot="1" x14ac:dyDescent="0.35">
      <c r="A425" s="42">
        <v>2008</v>
      </c>
      <c r="B425" s="43" t="s">
        <v>36</v>
      </c>
      <c r="C425" s="43" t="s">
        <v>44</v>
      </c>
      <c r="D425" s="43" t="s">
        <v>50</v>
      </c>
      <c r="E425" s="43">
        <v>46429</v>
      </c>
      <c r="F425" s="44">
        <v>45032</v>
      </c>
    </row>
    <row r="426" spans="1:11" ht="21.6" thickBot="1" x14ac:dyDescent="0.35">
      <c r="A426" s="42">
        <v>2009</v>
      </c>
      <c r="B426" s="43" t="s">
        <v>39</v>
      </c>
      <c r="C426" s="43" t="s">
        <v>44</v>
      </c>
      <c r="D426" s="43" t="s">
        <v>51</v>
      </c>
      <c r="E426" s="43">
        <v>19746</v>
      </c>
      <c r="F426" s="44">
        <v>45047</v>
      </c>
    </row>
    <row r="427" spans="1:11" ht="21.6" thickBot="1" x14ac:dyDescent="0.35">
      <c r="A427" s="42">
        <v>2010</v>
      </c>
      <c r="B427" s="43" t="s">
        <v>36</v>
      </c>
      <c r="C427" s="43" t="s">
        <v>37</v>
      </c>
      <c r="D427" s="43" t="s">
        <v>52</v>
      </c>
      <c r="E427" s="43">
        <v>35185</v>
      </c>
      <c r="F427" s="44">
        <v>45062</v>
      </c>
    </row>
    <row r="428" spans="1:11" ht="21.6" thickBot="1" x14ac:dyDescent="0.35">
      <c r="A428" s="42">
        <v>2011</v>
      </c>
      <c r="B428" s="43" t="s">
        <v>36</v>
      </c>
      <c r="C428" s="43" t="s">
        <v>44</v>
      </c>
      <c r="D428" s="43" t="s">
        <v>53</v>
      </c>
      <c r="E428" s="43">
        <v>33920</v>
      </c>
      <c r="F428" s="44">
        <v>45077</v>
      </c>
    </row>
    <row r="429" spans="1:11" ht="21.6" thickBot="1" x14ac:dyDescent="0.35">
      <c r="A429" s="42">
        <v>2012</v>
      </c>
      <c r="B429" s="43" t="s">
        <v>54</v>
      </c>
      <c r="C429" s="43" t="s">
        <v>46</v>
      </c>
      <c r="D429" s="43" t="s">
        <v>55</v>
      </c>
      <c r="E429" s="43">
        <v>35611</v>
      </c>
      <c r="F429" s="44">
        <v>45092</v>
      </c>
    </row>
    <row r="430" spans="1:11" ht="21.6" thickBot="1" x14ac:dyDescent="0.35">
      <c r="A430" s="42">
        <v>2013</v>
      </c>
      <c r="B430" s="43" t="s">
        <v>56</v>
      </c>
      <c r="C430" s="43" t="s">
        <v>44</v>
      </c>
      <c r="D430" s="43" t="s">
        <v>57</v>
      </c>
      <c r="E430" s="43">
        <v>15560</v>
      </c>
      <c r="F430" s="44">
        <v>45107</v>
      </c>
    </row>
    <row r="431" spans="1:11" ht="21.6" thickBot="1" x14ac:dyDescent="0.35">
      <c r="A431" s="42">
        <v>2014</v>
      </c>
      <c r="B431" s="43" t="s">
        <v>56</v>
      </c>
      <c r="C431" s="43" t="s">
        <v>37</v>
      </c>
      <c r="D431" s="43" t="s">
        <v>58</v>
      </c>
      <c r="E431" s="43">
        <v>7283</v>
      </c>
      <c r="F431" s="44">
        <v>45122</v>
      </c>
    </row>
    <row r="432" spans="1:11" ht="21.6" thickBot="1" x14ac:dyDescent="0.35">
      <c r="A432" s="42">
        <v>2015</v>
      </c>
      <c r="B432" s="43" t="s">
        <v>56</v>
      </c>
      <c r="C432" s="43" t="s">
        <v>44</v>
      </c>
      <c r="D432" s="43" t="s">
        <v>59</v>
      </c>
      <c r="E432" s="43">
        <v>15678</v>
      </c>
      <c r="F432" s="44">
        <v>45137</v>
      </c>
    </row>
    <row r="433" spans="1:7" ht="21.6" thickBot="1" x14ac:dyDescent="0.35">
      <c r="A433" s="42">
        <v>2016</v>
      </c>
      <c r="B433" s="43" t="s">
        <v>42</v>
      </c>
      <c r="C433" s="43" t="s">
        <v>44</v>
      </c>
      <c r="D433" s="43" t="s">
        <v>60</v>
      </c>
      <c r="E433" s="43">
        <v>5277</v>
      </c>
      <c r="F433" s="44">
        <v>45152</v>
      </c>
    </row>
    <row r="434" spans="1:7" ht="21.6" thickBot="1" x14ac:dyDescent="0.35">
      <c r="A434" s="42">
        <v>2017</v>
      </c>
      <c r="B434" s="43" t="s">
        <v>54</v>
      </c>
      <c r="C434" s="43" t="s">
        <v>46</v>
      </c>
      <c r="D434" s="43" t="s">
        <v>61</v>
      </c>
      <c r="E434" s="43">
        <v>41871</v>
      </c>
      <c r="F434" s="44">
        <v>45167</v>
      </c>
    </row>
    <row r="435" spans="1:7" ht="21.6" thickBot="1" x14ac:dyDescent="0.35">
      <c r="A435" s="42">
        <v>2018</v>
      </c>
      <c r="B435" s="43" t="s">
        <v>54</v>
      </c>
      <c r="C435" s="43" t="s">
        <v>40</v>
      </c>
      <c r="D435" s="43" t="s">
        <v>62</v>
      </c>
      <c r="E435" s="43">
        <v>38161</v>
      </c>
      <c r="F435" s="44">
        <v>45182</v>
      </c>
    </row>
    <row r="436" spans="1:7" ht="21.6" thickBot="1" x14ac:dyDescent="0.35">
      <c r="A436" s="42">
        <v>2019</v>
      </c>
      <c r="B436" s="43" t="s">
        <v>42</v>
      </c>
      <c r="C436" s="43" t="s">
        <v>40</v>
      </c>
      <c r="D436" s="43" t="s">
        <v>63</v>
      </c>
      <c r="E436" s="43">
        <v>30436</v>
      </c>
      <c r="F436" s="44">
        <v>45197</v>
      </c>
    </row>
    <row r="437" spans="1:7" ht="21.6" thickBot="1" x14ac:dyDescent="0.35">
      <c r="A437" s="42">
        <v>2020</v>
      </c>
      <c r="B437" s="43" t="s">
        <v>39</v>
      </c>
      <c r="C437" s="43" t="s">
        <v>40</v>
      </c>
      <c r="D437" s="43" t="s">
        <v>64</v>
      </c>
      <c r="E437" s="43">
        <v>33953</v>
      </c>
      <c r="F437" s="44">
        <v>45212</v>
      </c>
    </row>
    <row r="439" spans="1:7" ht="23.4" x14ac:dyDescent="0.3">
      <c r="A439" s="96" t="s">
        <v>151</v>
      </c>
      <c r="B439" s="96"/>
      <c r="C439" s="96"/>
      <c r="D439" s="96"/>
      <c r="E439" s="96"/>
    </row>
    <row r="440" spans="1:7" ht="23.4" x14ac:dyDescent="0.45">
      <c r="A440" s="85" t="s">
        <v>152</v>
      </c>
      <c r="B440" s="85"/>
      <c r="C440" s="85"/>
      <c r="D440" s="85"/>
      <c r="E440" s="85"/>
    </row>
    <row r="442" spans="1:7" ht="21" x14ac:dyDescent="0.3">
      <c r="A442" s="33" t="s">
        <v>30</v>
      </c>
      <c r="B442" s="33" t="s">
        <v>31</v>
      </c>
      <c r="C442" s="33" t="s">
        <v>32</v>
      </c>
      <c r="D442" s="33" t="s">
        <v>33</v>
      </c>
      <c r="E442" s="33" t="s">
        <v>34</v>
      </c>
      <c r="F442" s="33" t="s">
        <v>35</v>
      </c>
      <c r="G442" s="33" t="s">
        <v>153</v>
      </c>
    </row>
    <row r="443" spans="1:7" ht="21" x14ac:dyDescent="0.3">
      <c r="A443" s="28">
        <v>2001</v>
      </c>
      <c r="B443" s="28" t="s">
        <v>36</v>
      </c>
      <c r="C443" s="28" t="s">
        <v>37</v>
      </c>
      <c r="D443" s="28" t="s">
        <v>38</v>
      </c>
      <c r="E443" s="28">
        <v>7048</v>
      </c>
      <c r="F443" s="30">
        <v>44927</v>
      </c>
      <c r="G443" s="57">
        <f ca="1">OFFSET(E443,0,0)</f>
        <v>7048</v>
      </c>
    </row>
    <row r="444" spans="1:7" ht="21" x14ac:dyDescent="0.3">
      <c r="A444" s="28">
        <v>2002</v>
      </c>
      <c r="B444" s="28" t="s">
        <v>39</v>
      </c>
      <c r="C444" s="28" t="s">
        <v>40</v>
      </c>
      <c r="D444" s="28" t="s">
        <v>41</v>
      </c>
      <c r="E444" s="28">
        <v>17428</v>
      </c>
      <c r="F444" s="30">
        <v>44942</v>
      </c>
      <c r="G444" s="57">
        <f t="shared" ref="G444:G462" ca="1" si="16">OFFSET(E444,0,0)</f>
        <v>17428</v>
      </c>
    </row>
    <row r="445" spans="1:7" ht="21" x14ac:dyDescent="0.3">
      <c r="A445" s="28">
        <v>2003</v>
      </c>
      <c r="B445" s="28" t="s">
        <v>42</v>
      </c>
      <c r="C445" s="28" t="s">
        <v>37</v>
      </c>
      <c r="D445" s="28" t="s">
        <v>43</v>
      </c>
      <c r="E445" s="28">
        <v>23672</v>
      </c>
      <c r="F445" s="30">
        <v>44957</v>
      </c>
      <c r="G445" s="57">
        <f t="shared" ca="1" si="16"/>
        <v>23672</v>
      </c>
    </row>
    <row r="446" spans="1:7" ht="21" x14ac:dyDescent="0.3">
      <c r="A446" s="28">
        <v>2004</v>
      </c>
      <c r="B446" s="28" t="s">
        <v>39</v>
      </c>
      <c r="C446" s="28" t="s">
        <v>44</v>
      </c>
      <c r="D446" s="28" t="s">
        <v>45</v>
      </c>
      <c r="E446" s="28">
        <v>5264</v>
      </c>
      <c r="F446" s="30">
        <v>44972</v>
      </c>
      <c r="G446" s="57">
        <f t="shared" ca="1" si="16"/>
        <v>5264</v>
      </c>
    </row>
    <row r="447" spans="1:7" ht="21" x14ac:dyDescent="0.3">
      <c r="A447" s="28">
        <v>2005</v>
      </c>
      <c r="B447" s="28" t="s">
        <v>36</v>
      </c>
      <c r="C447" s="28" t="s">
        <v>46</v>
      </c>
      <c r="D447" s="28" t="s">
        <v>47</v>
      </c>
      <c r="E447" s="28">
        <v>43388</v>
      </c>
      <c r="F447" s="30">
        <v>44987</v>
      </c>
      <c r="G447" s="57">
        <f t="shared" ca="1" si="16"/>
        <v>43388</v>
      </c>
    </row>
    <row r="448" spans="1:7" ht="21" x14ac:dyDescent="0.3">
      <c r="A448" s="28">
        <v>2006</v>
      </c>
      <c r="B448" s="28" t="s">
        <v>42</v>
      </c>
      <c r="C448" s="28" t="s">
        <v>46</v>
      </c>
      <c r="D448" s="28" t="s">
        <v>48</v>
      </c>
      <c r="E448" s="28">
        <v>19757</v>
      </c>
      <c r="F448" s="30">
        <v>45002</v>
      </c>
      <c r="G448" s="57">
        <f t="shared" ca="1" si="16"/>
        <v>19757</v>
      </c>
    </row>
    <row r="449" spans="1:7" ht="21" x14ac:dyDescent="0.3">
      <c r="A449" s="28">
        <v>2007</v>
      </c>
      <c r="B449" s="28" t="s">
        <v>42</v>
      </c>
      <c r="C449" s="28" t="s">
        <v>44</v>
      </c>
      <c r="D449" s="28" t="s">
        <v>49</v>
      </c>
      <c r="E449" s="28">
        <v>32058</v>
      </c>
      <c r="F449" s="30">
        <v>45017</v>
      </c>
      <c r="G449" s="57">
        <f t="shared" ca="1" si="16"/>
        <v>32058</v>
      </c>
    </row>
    <row r="450" spans="1:7" ht="21" x14ac:dyDescent="0.3">
      <c r="A450" s="28">
        <v>2008</v>
      </c>
      <c r="B450" s="28" t="s">
        <v>36</v>
      </c>
      <c r="C450" s="28" t="s">
        <v>44</v>
      </c>
      <c r="D450" s="28" t="s">
        <v>50</v>
      </c>
      <c r="E450" s="28">
        <v>46429</v>
      </c>
      <c r="F450" s="30">
        <v>45032</v>
      </c>
      <c r="G450" s="57">
        <f t="shared" ca="1" si="16"/>
        <v>46429</v>
      </c>
    </row>
    <row r="451" spans="1:7" ht="21" x14ac:dyDescent="0.3">
      <c r="A451" s="28">
        <v>2009</v>
      </c>
      <c r="B451" s="28" t="s">
        <v>39</v>
      </c>
      <c r="C451" s="28" t="s">
        <v>44</v>
      </c>
      <c r="D451" s="28" t="s">
        <v>51</v>
      </c>
      <c r="E451" s="28">
        <v>19746</v>
      </c>
      <c r="F451" s="30">
        <v>45047</v>
      </c>
      <c r="G451" s="57">
        <f t="shared" ca="1" si="16"/>
        <v>19746</v>
      </c>
    </row>
    <row r="452" spans="1:7" ht="21" x14ac:dyDescent="0.3">
      <c r="A452" s="28">
        <v>2010</v>
      </c>
      <c r="B452" s="28" t="s">
        <v>36</v>
      </c>
      <c r="C452" s="28" t="s">
        <v>37</v>
      </c>
      <c r="D452" s="28" t="s">
        <v>52</v>
      </c>
      <c r="E452" s="28">
        <v>35185</v>
      </c>
      <c r="F452" s="30">
        <v>45062</v>
      </c>
      <c r="G452" s="57">
        <f t="shared" ca="1" si="16"/>
        <v>35185</v>
      </c>
    </row>
    <row r="453" spans="1:7" ht="21" x14ac:dyDescent="0.3">
      <c r="A453" s="28">
        <v>2011</v>
      </c>
      <c r="B453" s="28" t="s">
        <v>36</v>
      </c>
      <c r="C453" s="28" t="s">
        <v>44</v>
      </c>
      <c r="D453" s="28" t="s">
        <v>53</v>
      </c>
      <c r="E453" s="28">
        <v>33920</v>
      </c>
      <c r="F453" s="30">
        <v>45077</v>
      </c>
      <c r="G453" s="57">
        <f t="shared" ca="1" si="16"/>
        <v>33920</v>
      </c>
    </row>
    <row r="454" spans="1:7" ht="21" x14ac:dyDescent="0.3">
      <c r="A454" s="28">
        <v>2012</v>
      </c>
      <c r="B454" s="28" t="s">
        <v>54</v>
      </c>
      <c r="C454" s="28" t="s">
        <v>46</v>
      </c>
      <c r="D454" s="28" t="s">
        <v>55</v>
      </c>
      <c r="E454" s="28">
        <v>35611</v>
      </c>
      <c r="F454" s="30">
        <v>45092</v>
      </c>
      <c r="G454" s="57">
        <f t="shared" ca="1" si="16"/>
        <v>35611</v>
      </c>
    </row>
    <row r="455" spans="1:7" ht="21" x14ac:dyDescent="0.3">
      <c r="A455" s="28">
        <v>2013</v>
      </c>
      <c r="B455" s="28" t="s">
        <v>56</v>
      </c>
      <c r="C455" s="28" t="s">
        <v>44</v>
      </c>
      <c r="D455" s="28" t="s">
        <v>57</v>
      </c>
      <c r="E455" s="28">
        <v>15560</v>
      </c>
      <c r="F455" s="30">
        <v>45107</v>
      </c>
      <c r="G455" s="57">
        <f t="shared" ca="1" si="16"/>
        <v>15560</v>
      </c>
    </row>
    <row r="456" spans="1:7" ht="21" x14ac:dyDescent="0.3">
      <c r="A456" s="28">
        <v>2014</v>
      </c>
      <c r="B456" s="28" t="s">
        <v>56</v>
      </c>
      <c r="C456" s="28" t="s">
        <v>37</v>
      </c>
      <c r="D456" s="28" t="s">
        <v>58</v>
      </c>
      <c r="E456" s="28">
        <v>7283</v>
      </c>
      <c r="F456" s="30">
        <v>45122</v>
      </c>
      <c r="G456" s="57">
        <f t="shared" ca="1" si="16"/>
        <v>7283</v>
      </c>
    </row>
    <row r="457" spans="1:7" ht="21" x14ac:dyDescent="0.3">
      <c r="A457" s="28">
        <v>2015</v>
      </c>
      <c r="B457" s="28" t="s">
        <v>56</v>
      </c>
      <c r="C457" s="28" t="s">
        <v>44</v>
      </c>
      <c r="D457" s="28" t="s">
        <v>59</v>
      </c>
      <c r="E457" s="28">
        <v>15678</v>
      </c>
      <c r="F457" s="30">
        <v>45137</v>
      </c>
      <c r="G457" s="57">
        <f t="shared" ca="1" si="16"/>
        <v>15678</v>
      </c>
    </row>
    <row r="458" spans="1:7" ht="21" x14ac:dyDescent="0.3">
      <c r="A458" s="28">
        <v>2016</v>
      </c>
      <c r="B458" s="28" t="s">
        <v>42</v>
      </c>
      <c r="C458" s="28" t="s">
        <v>44</v>
      </c>
      <c r="D458" s="28" t="s">
        <v>60</v>
      </c>
      <c r="E458" s="28">
        <v>5277</v>
      </c>
      <c r="F458" s="30">
        <v>45152</v>
      </c>
      <c r="G458" s="57">
        <f t="shared" ca="1" si="16"/>
        <v>5277</v>
      </c>
    </row>
    <row r="459" spans="1:7" ht="21" x14ac:dyDescent="0.3">
      <c r="A459" s="28">
        <v>2017</v>
      </c>
      <c r="B459" s="28" t="s">
        <v>54</v>
      </c>
      <c r="C459" s="28" t="s">
        <v>46</v>
      </c>
      <c r="D459" s="28" t="s">
        <v>61</v>
      </c>
      <c r="E459" s="28">
        <v>41871</v>
      </c>
      <c r="F459" s="30">
        <v>45167</v>
      </c>
      <c r="G459" s="57">
        <f t="shared" ca="1" si="16"/>
        <v>41871</v>
      </c>
    </row>
    <row r="460" spans="1:7" ht="21" x14ac:dyDescent="0.3">
      <c r="A460" s="28">
        <v>2018</v>
      </c>
      <c r="B460" s="28" t="s">
        <v>54</v>
      </c>
      <c r="C460" s="28" t="s">
        <v>40</v>
      </c>
      <c r="D460" s="28" t="s">
        <v>62</v>
      </c>
      <c r="E460" s="28">
        <v>38161</v>
      </c>
      <c r="F460" s="30">
        <v>45182</v>
      </c>
      <c r="G460" s="57">
        <f t="shared" ca="1" si="16"/>
        <v>38161</v>
      </c>
    </row>
    <row r="461" spans="1:7" ht="21" x14ac:dyDescent="0.3">
      <c r="A461" s="28">
        <v>2019</v>
      </c>
      <c r="B461" s="28" t="s">
        <v>42</v>
      </c>
      <c r="C461" s="28" t="s">
        <v>40</v>
      </c>
      <c r="D461" s="28" t="s">
        <v>63</v>
      </c>
      <c r="E461" s="28">
        <v>30436</v>
      </c>
      <c r="F461" s="30">
        <v>45197</v>
      </c>
      <c r="G461" s="57">
        <f t="shared" ca="1" si="16"/>
        <v>30436</v>
      </c>
    </row>
    <row r="462" spans="1:7" ht="21" x14ac:dyDescent="0.3">
      <c r="A462" s="28">
        <v>2020</v>
      </c>
      <c r="B462" s="28" t="s">
        <v>39</v>
      </c>
      <c r="C462" s="28" t="s">
        <v>40</v>
      </c>
      <c r="D462" s="28" t="s">
        <v>64</v>
      </c>
      <c r="E462" s="28">
        <v>33953</v>
      </c>
      <c r="F462" s="30">
        <v>45212</v>
      </c>
      <c r="G462" s="57">
        <f t="shared" ca="1" si="16"/>
        <v>33953</v>
      </c>
    </row>
    <row r="464" spans="1:7" ht="23.4" x14ac:dyDescent="0.3">
      <c r="A464" s="96" t="s">
        <v>154</v>
      </c>
      <c r="B464" s="96"/>
      <c r="C464" s="96"/>
      <c r="D464" s="96"/>
      <c r="E464" s="96"/>
    </row>
    <row r="465" spans="1:5" ht="23.4" x14ac:dyDescent="0.45">
      <c r="A465" s="85" t="s">
        <v>155</v>
      </c>
      <c r="B465" s="85"/>
      <c r="C465" s="85"/>
      <c r="D465" s="85"/>
      <c r="E465" s="85"/>
    </row>
    <row r="467" spans="1:5" ht="21" x14ac:dyDescent="0.3">
      <c r="A467" s="58" t="s">
        <v>156</v>
      </c>
      <c r="B467" s="58" t="s">
        <v>157</v>
      </c>
    </row>
    <row r="468" spans="1:5" ht="21" x14ac:dyDescent="0.3">
      <c r="A468" s="59">
        <v>38948</v>
      </c>
      <c r="B468" s="49">
        <f ca="1">DATEDIF(A468,TODAY(),"Y")</f>
        <v>19</v>
      </c>
    </row>
    <row r="469" spans="1:5" ht="21" x14ac:dyDescent="0.3">
      <c r="A469" s="59">
        <v>37789</v>
      </c>
      <c r="B469" s="49">
        <f t="shared" ref="B469:B471" ca="1" si="17">DATEDIF(A469,TODAY(),"Y")</f>
        <v>22</v>
      </c>
    </row>
    <row r="470" spans="1:5" ht="21" x14ac:dyDescent="0.3">
      <c r="A470" s="59">
        <v>26325</v>
      </c>
      <c r="B470" s="49">
        <f t="shared" ca="1" si="17"/>
        <v>54</v>
      </c>
    </row>
    <row r="471" spans="1:5" ht="21" x14ac:dyDescent="0.3">
      <c r="A471" s="59">
        <v>37287</v>
      </c>
      <c r="B471" s="49">
        <f t="shared" ca="1" si="17"/>
        <v>24</v>
      </c>
    </row>
    <row r="473" spans="1:5" ht="23.4" x14ac:dyDescent="0.45">
      <c r="A473" s="85" t="s">
        <v>158</v>
      </c>
      <c r="B473" s="85"/>
      <c r="C473" s="85"/>
      <c r="D473" s="85"/>
      <c r="E473" s="85"/>
    </row>
    <row r="475" spans="1:5" ht="21" x14ac:dyDescent="0.3">
      <c r="A475" s="58" t="s">
        <v>159</v>
      </c>
      <c r="B475" s="58" t="s">
        <v>160</v>
      </c>
      <c r="C475" s="58" t="s">
        <v>161</v>
      </c>
    </row>
    <row r="476" spans="1:5" ht="21" x14ac:dyDescent="0.3">
      <c r="A476" s="60">
        <v>44927</v>
      </c>
      <c r="B476" s="60">
        <v>44936</v>
      </c>
      <c r="C476" s="49">
        <f>DATEDIF(A476,B476,"D")</f>
        <v>9</v>
      </c>
    </row>
    <row r="477" spans="1:5" ht="21" x14ac:dyDescent="0.3">
      <c r="A477" s="60">
        <v>44972</v>
      </c>
      <c r="B477" s="60">
        <v>44985</v>
      </c>
      <c r="C477" s="49">
        <f t="shared" ref="C477:C480" si="18">DATEDIF(A477,B477,"D")</f>
        <v>13</v>
      </c>
    </row>
    <row r="478" spans="1:5" ht="21" x14ac:dyDescent="0.3">
      <c r="A478" s="60">
        <v>44990</v>
      </c>
      <c r="B478" s="60">
        <v>45005</v>
      </c>
      <c r="C478" s="49">
        <f t="shared" si="18"/>
        <v>15</v>
      </c>
    </row>
    <row r="479" spans="1:5" ht="21" x14ac:dyDescent="0.3">
      <c r="A479" s="60">
        <v>45078</v>
      </c>
      <c r="B479" s="60">
        <v>45092</v>
      </c>
      <c r="C479" s="49">
        <f t="shared" si="18"/>
        <v>14</v>
      </c>
    </row>
    <row r="480" spans="1:5" ht="21" x14ac:dyDescent="0.3">
      <c r="A480" s="60">
        <v>45148</v>
      </c>
      <c r="B480" s="60">
        <v>45163</v>
      </c>
      <c r="C480" s="49">
        <f t="shared" si="18"/>
        <v>15</v>
      </c>
    </row>
    <row r="482" spans="1:5" ht="23.4" x14ac:dyDescent="0.3">
      <c r="A482" s="96" t="s">
        <v>162</v>
      </c>
      <c r="B482" s="96"/>
      <c r="C482" s="96"/>
      <c r="D482" s="96"/>
      <c r="E482" s="96"/>
    </row>
    <row r="483" spans="1:5" ht="23.4" x14ac:dyDescent="0.45">
      <c r="A483" s="85" t="s">
        <v>163</v>
      </c>
      <c r="B483" s="85"/>
      <c r="C483" s="85"/>
      <c r="D483" s="85"/>
      <c r="E483" s="85"/>
    </row>
    <row r="485" spans="1:5" ht="21" x14ac:dyDescent="0.3">
      <c r="A485" s="58" t="s">
        <v>164</v>
      </c>
      <c r="B485" s="58" t="s">
        <v>165</v>
      </c>
      <c r="C485" s="58" t="s">
        <v>166</v>
      </c>
      <c r="D485" s="58" t="s">
        <v>167</v>
      </c>
    </row>
    <row r="486" spans="1:5" ht="21" x14ac:dyDescent="0.3">
      <c r="A486" s="49">
        <v>1234.567</v>
      </c>
      <c r="B486" s="49">
        <f>ROUND(A486,2)</f>
        <v>1234.57</v>
      </c>
      <c r="C486" s="49">
        <f>CEILING(A486,2)</f>
        <v>1236</v>
      </c>
      <c r="D486" s="49">
        <f>FLOOR(A486,1)</f>
        <v>1234</v>
      </c>
    </row>
    <row r="487" spans="1:5" ht="21" x14ac:dyDescent="0.3">
      <c r="A487" s="49">
        <v>899.43200000000002</v>
      </c>
      <c r="B487" s="49">
        <f t="shared" ref="B487:B490" si="19">ROUND(A487,2)</f>
        <v>899.43</v>
      </c>
      <c r="C487" s="49">
        <f t="shared" ref="C487:C490" si="20">CEILING(A487,2)</f>
        <v>900</v>
      </c>
      <c r="D487" s="49">
        <f t="shared" ref="D487:D490" si="21">FLOOR(A487,1)</f>
        <v>899</v>
      </c>
    </row>
    <row r="488" spans="1:5" ht="21" x14ac:dyDescent="0.3">
      <c r="A488" s="49">
        <v>450.125</v>
      </c>
      <c r="B488" s="49">
        <f t="shared" si="19"/>
        <v>450.13</v>
      </c>
      <c r="C488" s="49">
        <f t="shared" si="20"/>
        <v>452</v>
      </c>
      <c r="D488" s="49">
        <f t="shared" si="21"/>
        <v>450</v>
      </c>
    </row>
    <row r="489" spans="1:5" ht="21" x14ac:dyDescent="0.3">
      <c r="A489" s="49">
        <v>275.89</v>
      </c>
      <c r="B489" s="49">
        <f t="shared" si="19"/>
        <v>275.89</v>
      </c>
      <c r="C489" s="49">
        <f t="shared" si="20"/>
        <v>276</v>
      </c>
      <c r="D489" s="49">
        <f t="shared" si="21"/>
        <v>275</v>
      </c>
    </row>
    <row r="490" spans="1:5" ht="21" x14ac:dyDescent="0.3">
      <c r="A490" s="49">
        <v>1999.999</v>
      </c>
      <c r="B490" s="49">
        <f t="shared" si="19"/>
        <v>2000</v>
      </c>
      <c r="C490" s="49">
        <f t="shared" si="20"/>
        <v>2000</v>
      </c>
      <c r="D490" s="49">
        <f t="shared" si="21"/>
        <v>1999</v>
      </c>
    </row>
    <row r="492" spans="1:5" ht="23.4" x14ac:dyDescent="0.3">
      <c r="A492" s="96" t="s">
        <v>168</v>
      </c>
      <c r="B492" s="96"/>
      <c r="C492" s="96"/>
      <c r="D492" s="96"/>
      <c r="E492" s="96"/>
    </row>
    <row r="493" spans="1:5" ht="23.4" x14ac:dyDescent="0.45">
      <c r="A493" s="95" t="s">
        <v>169</v>
      </c>
      <c r="B493" s="95"/>
      <c r="C493" s="95"/>
      <c r="D493" s="95"/>
      <c r="E493" s="95"/>
    </row>
    <row r="495" spans="1:5" ht="21" x14ac:dyDescent="0.3">
      <c r="A495" s="58" t="s">
        <v>170</v>
      </c>
      <c r="B495" s="58" t="s">
        <v>171</v>
      </c>
    </row>
    <row r="496" spans="1:5" ht="21" x14ac:dyDescent="0.3">
      <c r="A496" s="49" t="s">
        <v>172</v>
      </c>
      <c r="B496" s="49">
        <v>95</v>
      </c>
    </row>
    <row r="497" spans="1:5" ht="21" x14ac:dyDescent="0.4">
      <c r="A497" s="49" t="s">
        <v>173</v>
      </c>
      <c r="B497" s="49">
        <v>85</v>
      </c>
      <c r="D497" s="61" t="str" cm="1">
        <f t="array" ref="D497:E499">_xlfn._xlws.FILTER(A496:B501,B496:B501&gt;=LARGE(B496:B501,3))</f>
        <v>KRIPAL</v>
      </c>
      <c r="E497" s="11">
        <v>95</v>
      </c>
    </row>
    <row r="498" spans="1:5" ht="21" x14ac:dyDescent="0.3">
      <c r="A498" s="49" t="s">
        <v>174</v>
      </c>
      <c r="B498" s="49">
        <v>55</v>
      </c>
      <c r="D498" s="11" t="str">
        <v>SANDIP</v>
      </c>
      <c r="E498" s="11">
        <v>85</v>
      </c>
    </row>
    <row r="499" spans="1:5" ht="21" x14ac:dyDescent="0.3">
      <c r="A499" s="49" t="s">
        <v>175</v>
      </c>
      <c r="B499" s="49">
        <v>81</v>
      </c>
      <c r="D499" s="11" t="str">
        <v>PRINYAKA</v>
      </c>
      <c r="E499" s="11">
        <v>81</v>
      </c>
    </row>
    <row r="500" spans="1:5" ht="21" x14ac:dyDescent="0.3">
      <c r="A500" s="49" t="s">
        <v>176</v>
      </c>
      <c r="B500" s="49">
        <v>75</v>
      </c>
    </row>
    <row r="501" spans="1:5" ht="21" x14ac:dyDescent="0.3">
      <c r="A501" s="49" t="s">
        <v>177</v>
      </c>
      <c r="B501" s="49">
        <v>69</v>
      </c>
    </row>
  </sheetData>
  <mergeCells count="40">
    <mergeCell ref="A473:E473"/>
    <mergeCell ref="A482:E482"/>
    <mergeCell ref="A483:E483"/>
    <mergeCell ref="A492:E492"/>
    <mergeCell ref="A493:E493"/>
    <mergeCell ref="A465:E465"/>
    <mergeCell ref="A332:E332"/>
    <mergeCell ref="A340:E340"/>
    <mergeCell ref="A341:E341"/>
    <mergeCell ref="A365:E365"/>
    <mergeCell ref="A389:E389"/>
    <mergeCell ref="A390:E390"/>
    <mergeCell ref="A414:E414"/>
    <mergeCell ref="A415:E415"/>
    <mergeCell ref="A439:E439"/>
    <mergeCell ref="A440:E440"/>
    <mergeCell ref="A464:E464"/>
    <mergeCell ref="A324:E324"/>
    <mergeCell ref="A152:G152"/>
    <mergeCell ref="A153:G153"/>
    <mergeCell ref="A177:G177"/>
    <mergeCell ref="A201:G201"/>
    <mergeCell ref="A225:G225"/>
    <mergeCell ref="A226:G226"/>
    <mergeCell ref="A250:G250"/>
    <mergeCell ref="A274:G274"/>
    <mergeCell ref="A275:G275"/>
    <mergeCell ref="A299:F299"/>
    <mergeCell ref="A323:E323"/>
    <mergeCell ref="A128:G128"/>
    <mergeCell ref="A1:L2"/>
    <mergeCell ref="A5:G5"/>
    <mergeCell ref="A4:G4"/>
    <mergeCell ref="A6:G6"/>
    <mergeCell ref="A30:H30"/>
    <mergeCell ref="A54:G54"/>
    <mergeCell ref="A55:G55"/>
    <mergeCell ref="A79:G79"/>
    <mergeCell ref="A103:G103"/>
    <mergeCell ref="A104:G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14E0-DD64-464B-8E14-69B1A6EAC1C0}">
  <dimension ref="A1:F21"/>
  <sheetViews>
    <sheetView workbookViewId="0">
      <selection activeCell="A2" sqref="A2:F14"/>
    </sheetView>
  </sheetViews>
  <sheetFormatPr defaultRowHeight="14.4" x14ac:dyDescent="0.3"/>
  <cols>
    <col min="6" max="6" width="15.44140625" bestFit="1" customWidth="1"/>
  </cols>
  <sheetData>
    <row r="1" spans="1:6" ht="29.4" thickBot="1" x14ac:dyDescent="0.35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15" thickBot="1" x14ac:dyDescent="0.35">
      <c r="A2" s="3">
        <v>1001</v>
      </c>
      <c r="B2" s="4" t="s">
        <v>10</v>
      </c>
      <c r="C2" s="4">
        <v>61</v>
      </c>
      <c r="D2" s="4">
        <v>48</v>
      </c>
      <c r="E2" s="4">
        <v>76</v>
      </c>
      <c r="F2" s="5">
        <v>43101</v>
      </c>
    </row>
    <row r="3" spans="1:6" ht="15" thickBot="1" x14ac:dyDescent="0.35">
      <c r="A3" s="3">
        <v>1002</v>
      </c>
      <c r="B3" s="4" t="s">
        <v>11</v>
      </c>
      <c r="C3" s="4">
        <v>78</v>
      </c>
      <c r="D3" s="4">
        <v>76</v>
      </c>
      <c r="E3" s="4">
        <v>70</v>
      </c>
      <c r="F3" s="5">
        <v>43281</v>
      </c>
    </row>
    <row r="4" spans="1:6" ht="15" thickBot="1" x14ac:dyDescent="0.35">
      <c r="A4" s="3">
        <v>1003</v>
      </c>
      <c r="B4" s="4" t="s">
        <v>12</v>
      </c>
      <c r="C4" s="4">
        <v>97</v>
      </c>
      <c r="D4" s="4">
        <v>60</v>
      </c>
      <c r="E4" s="4">
        <v>51</v>
      </c>
      <c r="F4" s="5">
        <v>43461</v>
      </c>
    </row>
    <row r="5" spans="1:6" ht="15" thickBot="1" x14ac:dyDescent="0.35">
      <c r="A5" s="3">
        <v>1004</v>
      </c>
      <c r="B5" s="4" t="s">
        <v>13</v>
      </c>
      <c r="C5" s="4">
        <v>74</v>
      </c>
      <c r="D5" s="4">
        <v>55</v>
      </c>
      <c r="E5" s="4">
        <v>46</v>
      </c>
      <c r="F5" s="5">
        <v>43641</v>
      </c>
    </row>
    <row r="6" spans="1:6" ht="15" thickBot="1" x14ac:dyDescent="0.35">
      <c r="A6" s="3">
        <v>1005</v>
      </c>
      <c r="B6" s="4" t="s">
        <v>14</v>
      </c>
      <c r="C6" s="4">
        <v>68</v>
      </c>
      <c r="D6" s="4">
        <v>74</v>
      </c>
      <c r="E6" s="4">
        <v>84</v>
      </c>
      <c r="F6" s="5">
        <v>43821</v>
      </c>
    </row>
    <row r="7" spans="1:6" ht="15" thickBot="1" x14ac:dyDescent="0.35">
      <c r="A7" s="3">
        <v>1006</v>
      </c>
      <c r="B7" s="4" t="s">
        <v>15</v>
      </c>
      <c r="C7" s="4">
        <v>80</v>
      </c>
      <c r="D7" s="4">
        <v>70</v>
      </c>
      <c r="E7" s="4">
        <v>65</v>
      </c>
      <c r="F7" s="5">
        <v>44001</v>
      </c>
    </row>
    <row r="8" spans="1:6" ht="15" thickBot="1" x14ac:dyDescent="0.35">
      <c r="A8" s="3">
        <v>1007</v>
      </c>
      <c r="B8" s="4" t="s">
        <v>16</v>
      </c>
      <c r="C8" s="4">
        <v>75</v>
      </c>
      <c r="D8" s="4">
        <v>47</v>
      </c>
      <c r="E8" s="4">
        <v>78</v>
      </c>
      <c r="F8" s="5">
        <v>44181</v>
      </c>
    </row>
    <row r="9" spans="1:6" ht="15" thickBot="1" x14ac:dyDescent="0.35">
      <c r="A9" s="3">
        <v>1008</v>
      </c>
      <c r="B9" s="4" t="s">
        <v>17</v>
      </c>
      <c r="C9" s="4">
        <v>94</v>
      </c>
      <c r="D9" s="4">
        <v>67</v>
      </c>
      <c r="E9" s="4">
        <v>64</v>
      </c>
      <c r="F9" s="5">
        <v>44361</v>
      </c>
    </row>
    <row r="10" spans="1:6" ht="15" thickBot="1" x14ac:dyDescent="0.35">
      <c r="A10" s="3">
        <v>1009</v>
      </c>
      <c r="B10" s="4" t="s">
        <v>18</v>
      </c>
      <c r="C10" s="4">
        <v>41</v>
      </c>
      <c r="D10" s="4">
        <v>75</v>
      </c>
      <c r="E10" s="4">
        <v>56</v>
      </c>
      <c r="F10" s="5">
        <v>44541</v>
      </c>
    </row>
    <row r="11" spans="1:6" ht="29.4" thickBot="1" x14ac:dyDescent="0.35">
      <c r="A11" s="3">
        <v>1010</v>
      </c>
      <c r="B11" s="4" t="s">
        <v>19</v>
      </c>
      <c r="C11" s="4">
        <v>98</v>
      </c>
      <c r="D11" s="4">
        <v>54</v>
      </c>
      <c r="E11" s="4">
        <v>58</v>
      </c>
      <c r="F11" s="5">
        <v>44721</v>
      </c>
    </row>
    <row r="12" spans="1:6" ht="29.4" thickBot="1" x14ac:dyDescent="0.35">
      <c r="A12" s="3">
        <v>1011</v>
      </c>
      <c r="B12" s="4" t="s">
        <v>20</v>
      </c>
      <c r="C12" s="4">
        <v>73</v>
      </c>
      <c r="D12" s="4">
        <v>79</v>
      </c>
      <c r="E12" s="4">
        <v>53</v>
      </c>
      <c r="F12" s="5">
        <v>44901</v>
      </c>
    </row>
    <row r="13" spans="1:6" ht="29.4" thickBot="1" x14ac:dyDescent="0.35">
      <c r="A13" s="3">
        <v>1012</v>
      </c>
      <c r="B13" s="4" t="s">
        <v>21</v>
      </c>
      <c r="C13" s="4">
        <v>85</v>
      </c>
      <c r="D13" s="4">
        <v>89</v>
      </c>
      <c r="E13" s="4">
        <v>79</v>
      </c>
      <c r="F13" s="5">
        <v>45081</v>
      </c>
    </row>
    <row r="14" spans="1:6" ht="29.4" thickBot="1" x14ac:dyDescent="0.35">
      <c r="A14" s="3">
        <v>1013</v>
      </c>
      <c r="B14" s="4" t="s">
        <v>22</v>
      </c>
      <c r="C14" s="4">
        <v>98</v>
      </c>
      <c r="D14" s="4">
        <v>90</v>
      </c>
      <c r="E14" s="4">
        <v>97</v>
      </c>
      <c r="F14" s="5">
        <v>45261</v>
      </c>
    </row>
    <row r="15" spans="1:6" ht="29.4" thickBot="1" x14ac:dyDescent="0.35">
      <c r="A15" s="3">
        <v>1014</v>
      </c>
      <c r="B15" s="4" t="s">
        <v>23</v>
      </c>
      <c r="C15" s="4">
        <v>93</v>
      </c>
      <c r="D15" s="4">
        <v>40</v>
      </c>
      <c r="E15" s="4">
        <v>44</v>
      </c>
      <c r="F15" s="5">
        <v>45441</v>
      </c>
    </row>
    <row r="16" spans="1:6" ht="29.4" thickBot="1" x14ac:dyDescent="0.35">
      <c r="A16" s="3">
        <v>1015</v>
      </c>
      <c r="B16" s="4" t="s">
        <v>24</v>
      </c>
      <c r="C16" s="4">
        <v>70</v>
      </c>
      <c r="D16" s="4">
        <v>51</v>
      </c>
      <c r="E16" s="4">
        <v>75</v>
      </c>
      <c r="F16" s="5">
        <v>45621</v>
      </c>
    </row>
    <row r="17" spans="1:6" ht="29.4" thickBot="1" x14ac:dyDescent="0.35">
      <c r="A17" s="3">
        <v>1016</v>
      </c>
      <c r="B17" s="4" t="s">
        <v>25</v>
      </c>
      <c r="C17" s="4">
        <v>98</v>
      </c>
      <c r="D17" s="4">
        <v>77</v>
      </c>
      <c r="E17" s="4">
        <v>60</v>
      </c>
      <c r="F17" s="5">
        <v>45801</v>
      </c>
    </row>
    <row r="18" spans="1:6" ht="29.4" thickBot="1" x14ac:dyDescent="0.35">
      <c r="A18" s="3">
        <v>1017</v>
      </c>
      <c r="B18" s="4" t="s">
        <v>26</v>
      </c>
      <c r="C18" s="4">
        <v>66</v>
      </c>
      <c r="D18" s="4">
        <v>59</v>
      </c>
      <c r="E18" s="4">
        <v>40</v>
      </c>
      <c r="F18" s="5">
        <v>45981</v>
      </c>
    </row>
    <row r="19" spans="1:6" ht="29.4" thickBot="1" x14ac:dyDescent="0.35">
      <c r="A19" s="3">
        <v>1018</v>
      </c>
      <c r="B19" s="4" t="s">
        <v>27</v>
      </c>
      <c r="C19" s="4">
        <v>82</v>
      </c>
      <c r="D19" s="4">
        <v>48</v>
      </c>
      <c r="E19" s="4">
        <v>79</v>
      </c>
      <c r="F19" s="5">
        <v>46161</v>
      </c>
    </row>
    <row r="20" spans="1:6" ht="29.4" thickBot="1" x14ac:dyDescent="0.35">
      <c r="A20" s="3">
        <v>1019</v>
      </c>
      <c r="B20" s="4" t="s">
        <v>28</v>
      </c>
      <c r="C20" s="4">
        <v>90</v>
      </c>
      <c r="D20" s="4">
        <v>78</v>
      </c>
      <c r="E20" s="4">
        <v>60</v>
      </c>
      <c r="F20" s="5">
        <v>46341</v>
      </c>
    </row>
    <row r="21" spans="1:6" ht="29.4" thickBot="1" x14ac:dyDescent="0.35">
      <c r="A21" s="3">
        <v>1020</v>
      </c>
      <c r="B21" s="4" t="s">
        <v>29</v>
      </c>
      <c r="C21" s="4">
        <v>83</v>
      </c>
      <c r="D21" s="4">
        <v>92</v>
      </c>
      <c r="E21" s="4">
        <v>55</v>
      </c>
      <c r="F21" s="5">
        <v>46521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19FF-7B95-40ED-A2AF-9B1EE4692CA2}">
  <dimension ref="A1:F21"/>
  <sheetViews>
    <sheetView workbookViewId="0">
      <selection sqref="A1:E10"/>
    </sheetView>
  </sheetViews>
  <sheetFormatPr defaultRowHeight="14.4" x14ac:dyDescent="0.3"/>
  <cols>
    <col min="6" max="6" width="15.44140625" bestFit="1" customWidth="1"/>
  </cols>
  <sheetData>
    <row r="1" spans="1:6" ht="29.4" thickBot="1" x14ac:dyDescent="0.35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ht="15" thickBot="1" x14ac:dyDescent="0.35">
      <c r="A2" s="3">
        <v>2001</v>
      </c>
      <c r="B2" s="4" t="s">
        <v>36</v>
      </c>
      <c r="C2" s="4" t="s">
        <v>37</v>
      </c>
      <c r="D2" s="4" t="s">
        <v>38</v>
      </c>
      <c r="E2" s="4">
        <v>7048</v>
      </c>
      <c r="F2" s="5">
        <v>44927</v>
      </c>
    </row>
    <row r="3" spans="1:6" ht="15" thickBot="1" x14ac:dyDescent="0.35">
      <c r="A3" s="3">
        <v>2002</v>
      </c>
      <c r="B3" s="4" t="s">
        <v>39</v>
      </c>
      <c r="C3" s="4" t="s">
        <v>40</v>
      </c>
      <c r="D3" s="4" t="s">
        <v>41</v>
      </c>
      <c r="E3" s="4">
        <v>17428</v>
      </c>
      <c r="F3" s="5">
        <v>44942</v>
      </c>
    </row>
    <row r="4" spans="1:6" ht="15" thickBot="1" x14ac:dyDescent="0.35">
      <c r="A4" s="3">
        <v>2003</v>
      </c>
      <c r="B4" s="4" t="s">
        <v>42</v>
      </c>
      <c r="C4" s="4" t="s">
        <v>37</v>
      </c>
      <c r="D4" s="4" t="s">
        <v>43</v>
      </c>
      <c r="E4" s="4">
        <v>23672</v>
      </c>
      <c r="F4" s="5">
        <v>44957</v>
      </c>
    </row>
    <row r="5" spans="1:6" ht="15" thickBot="1" x14ac:dyDescent="0.35">
      <c r="A5" s="3">
        <v>2004</v>
      </c>
      <c r="B5" s="4" t="s">
        <v>39</v>
      </c>
      <c r="C5" s="4" t="s">
        <v>44</v>
      </c>
      <c r="D5" s="4" t="s">
        <v>45</v>
      </c>
      <c r="E5" s="4">
        <v>5264</v>
      </c>
      <c r="F5" s="5">
        <v>44972</v>
      </c>
    </row>
    <row r="6" spans="1:6" ht="15" thickBot="1" x14ac:dyDescent="0.35">
      <c r="A6" s="3">
        <v>2005</v>
      </c>
      <c r="B6" s="4" t="s">
        <v>36</v>
      </c>
      <c r="C6" s="4" t="s">
        <v>46</v>
      </c>
      <c r="D6" s="4" t="s">
        <v>47</v>
      </c>
      <c r="E6" s="4">
        <v>43388</v>
      </c>
      <c r="F6" s="5">
        <v>44987</v>
      </c>
    </row>
    <row r="7" spans="1:6" ht="15" thickBot="1" x14ac:dyDescent="0.35">
      <c r="A7" s="3">
        <v>2006</v>
      </c>
      <c r="B7" s="4" t="s">
        <v>42</v>
      </c>
      <c r="C7" s="4" t="s">
        <v>46</v>
      </c>
      <c r="D7" s="4" t="s">
        <v>48</v>
      </c>
      <c r="E7" s="4">
        <v>19757</v>
      </c>
      <c r="F7" s="5">
        <v>45002</v>
      </c>
    </row>
    <row r="8" spans="1:6" ht="15" thickBot="1" x14ac:dyDescent="0.35">
      <c r="A8" s="3">
        <v>2007</v>
      </c>
      <c r="B8" s="4" t="s">
        <v>42</v>
      </c>
      <c r="C8" s="4" t="s">
        <v>44</v>
      </c>
      <c r="D8" s="4" t="s">
        <v>49</v>
      </c>
      <c r="E8" s="4">
        <v>32058</v>
      </c>
      <c r="F8" s="5">
        <v>45017</v>
      </c>
    </row>
    <row r="9" spans="1:6" ht="15" thickBot="1" x14ac:dyDescent="0.35">
      <c r="A9" s="3">
        <v>2008</v>
      </c>
      <c r="B9" s="4" t="s">
        <v>36</v>
      </c>
      <c r="C9" s="4" t="s">
        <v>44</v>
      </c>
      <c r="D9" s="4" t="s">
        <v>50</v>
      </c>
      <c r="E9" s="4">
        <v>46429</v>
      </c>
      <c r="F9" s="5">
        <v>45032</v>
      </c>
    </row>
    <row r="10" spans="1:6" ht="15" thickBot="1" x14ac:dyDescent="0.35">
      <c r="A10" s="3">
        <v>2009</v>
      </c>
      <c r="B10" s="4" t="s">
        <v>39</v>
      </c>
      <c r="C10" s="4" t="s">
        <v>44</v>
      </c>
      <c r="D10" s="4" t="s">
        <v>51</v>
      </c>
      <c r="E10" s="4">
        <v>19746</v>
      </c>
      <c r="F10" s="5">
        <v>45047</v>
      </c>
    </row>
    <row r="11" spans="1:6" ht="29.4" thickBot="1" x14ac:dyDescent="0.35">
      <c r="A11" s="3">
        <v>2010</v>
      </c>
      <c r="B11" s="4" t="s">
        <v>36</v>
      </c>
      <c r="C11" s="4" t="s">
        <v>37</v>
      </c>
      <c r="D11" s="4" t="s">
        <v>52</v>
      </c>
      <c r="E11" s="4">
        <v>35185</v>
      </c>
      <c r="F11" s="5">
        <v>45062</v>
      </c>
    </row>
    <row r="12" spans="1:6" ht="29.4" thickBot="1" x14ac:dyDescent="0.35">
      <c r="A12" s="3">
        <v>2011</v>
      </c>
      <c r="B12" s="4" t="s">
        <v>36</v>
      </c>
      <c r="C12" s="4" t="s">
        <v>44</v>
      </c>
      <c r="D12" s="4" t="s">
        <v>53</v>
      </c>
      <c r="E12" s="4">
        <v>33920</v>
      </c>
      <c r="F12" s="5">
        <v>45077</v>
      </c>
    </row>
    <row r="13" spans="1:6" ht="29.4" thickBot="1" x14ac:dyDescent="0.35">
      <c r="A13" s="3">
        <v>2012</v>
      </c>
      <c r="B13" s="4" t="s">
        <v>54</v>
      </c>
      <c r="C13" s="4" t="s">
        <v>46</v>
      </c>
      <c r="D13" s="4" t="s">
        <v>55</v>
      </c>
      <c r="E13" s="4">
        <v>35611</v>
      </c>
      <c r="F13" s="5">
        <v>45092</v>
      </c>
    </row>
    <row r="14" spans="1:6" ht="29.4" thickBot="1" x14ac:dyDescent="0.35">
      <c r="A14" s="3">
        <v>2013</v>
      </c>
      <c r="B14" s="4" t="s">
        <v>56</v>
      </c>
      <c r="C14" s="4" t="s">
        <v>44</v>
      </c>
      <c r="D14" s="4" t="s">
        <v>57</v>
      </c>
      <c r="E14" s="4">
        <v>15560</v>
      </c>
      <c r="F14" s="5">
        <v>45107</v>
      </c>
    </row>
    <row r="15" spans="1:6" ht="29.4" thickBot="1" x14ac:dyDescent="0.35">
      <c r="A15" s="3">
        <v>2014</v>
      </c>
      <c r="B15" s="4" t="s">
        <v>56</v>
      </c>
      <c r="C15" s="4" t="s">
        <v>37</v>
      </c>
      <c r="D15" s="4" t="s">
        <v>58</v>
      </c>
      <c r="E15" s="4">
        <v>7283</v>
      </c>
      <c r="F15" s="5">
        <v>45122</v>
      </c>
    </row>
    <row r="16" spans="1:6" ht="29.4" thickBot="1" x14ac:dyDescent="0.35">
      <c r="A16" s="3">
        <v>2015</v>
      </c>
      <c r="B16" s="4" t="s">
        <v>56</v>
      </c>
      <c r="C16" s="4" t="s">
        <v>44</v>
      </c>
      <c r="D16" s="4" t="s">
        <v>59</v>
      </c>
      <c r="E16" s="4">
        <v>15678</v>
      </c>
      <c r="F16" s="5">
        <v>45137</v>
      </c>
    </row>
    <row r="17" spans="1:6" ht="29.4" thickBot="1" x14ac:dyDescent="0.35">
      <c r="A17" s="3">
        <v>2016</v>
      </c>
      <c r="B17" s="4" t="s">
        <v>42</v>
      </c>
      <c r="C17" s="4" t="s">
        <v>44</v>
      </c>
      <c r="D17" s="4" t="s">
        <v>60</v>
      </c>
      <c r="E17" s="4">
        <v>5277</v>
      </c>
      <c r="F17" s="5">
        <v>45152</v>
      </c>
    </row>
    <row r="18" spans="1:6" ht="29.4" thickBot="1" x14ac:dyDescent="0.35">
      <c r="A18" s="3">
        <v>2017</v>
      </c>
      <c r="B18" s="4" t="s">
        <v>54</v>
      </c>
      <c r="C18" s="4" t="s">
        <v>46</v>
      </c>
      <c r="D18" s="4" t="s">
        <v>61</v>
      </c>
      <c r="E18" s="4">
        <v>41871</v>
      </c>
      <c r="F18" s="5">
        <v>45167</v>
      </c>
    </row>
    <row r="19" spans="1:6" ht="29.4" thickBot="1" x14ac:dyDescent="0.35">
      <c r="A19" s="3">
        <v>2018</v>
      </c>
      <c r="B19" s="4" t="s">
        <v>54</v>
      </c>
      <c r="C19" s="4" t="s">
        <v>40</v>
      </c>
      <c r="D19" s="4" t="s">
        <v>62</v>
      </c>
      <c r="E19" s="4">
        <v>38161</v>
      </c>
      <c r="F19" s="5">
        <v>45182</v>
      </c>
    </row>
    <row r="20" spans="1:6" ht="29.4" thickBot="1" x14ac:dyDescent="0.35">
      <c r="A20" s="3">
        <v>2019</v>
      </c>
      <c r="B20" s="4" t="s">
        <v>42</v>
      </c>
      <c r="C20" s="4" t="s">
        <v>40</v>
      </c>
      <c r="D20" s="4" t="s">
        <v>63</v>
      </c>
      <c r="E20" s="4">
        <v>30436</v>
      </c>
      <c r="F20" s="5">
        <v>45197</v>
      </c>
    </row>
    <row r="21" spans="1:6" ht="29.4" thickBot="1" x14ac:dyDescent="0.35">
      <c r="A21" s="3">
        <v>2020</v>
      </c>
      <c r="B21" s="4" t="s">
        <v>39</v>
      </c>
      <c r="C21" s="4" t="s">
        <v>40</v>
      </c>
      <c r="D21" s="4" t="s">
        <v>64</v>
      </c>
      <c r="E21" s="4">
        <v>33953</v>
      </c>
      <c r="F21" s="5">
        <v>45212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86C6-8F45-4B74-A485-0846D8B34E3C}">
  <dimension ref="A1:E21"/>
  <sheetViews>
    <sheetView workbookViewId="0">
      <selection activeCell="C3" sqref="C3"/>
    </sheetView>
  </sheetViews>
  <sheetFormatPr defaultRowHeight="14.4" x14ac:dyDescent="0.3"/>
  <cols>
    <col min="5" max="5" width="15.44140625" bestFit="1" customWidth="1"/>
  </cols>
  <sheetData>
    <row r="1" spans="1:5" ht="29.4" thickBot="1" x14ac:dyDescent="0.35">
      <c r="A1" s="1" t="s">
        <v>65</v>
      </c>
      <c r="B1" s="2" t="s">
        <v>5</v>
      </c>
      <c r="C1" s="2" t="s">
        <v>66</v>
      </c>
      <c r="D1" s="2" t="s">
        <v>67</v>
      </c>
      <c r="E1" s="2" t="s">
        <v>68</v>
      </c>
    </row>
    <row r="2" spans="1:5" ht="29.4" thickBot="1" x14ac:dyDescent="0.35">
      <c r="A2" s="3">
        <v>3001</v>
      </c>
      <c r="B2" s="4" t="s">
        <v>69</v>
      </c>
      <c r="C2" s="4" t="s">
        <v>70</v>
      </c>
      <c r="D2" s="4">
        <v>86766</v>
      </c>
      <c r="E2" s="5">
        <v>42005</v>
      </c>
    </row>
    <row r="3" spans="1:5" ht="29.4" thickBot="1" x14ac:dyDescent="0.35">
      <c r="A3" s="3">
        <v>3002</v>
      </c>
      <c r="B3" s="4" t="s">
        <v>71</v>
      </c>
      <c r="C3" s="4" t="s">
        <v>70</v>
      </c>
      <c r="D3" s="4">
        <v>31943</v>
      </c>
      <c r="E3" s="5">
        <v>42255</v>
      </c>
    </row>
    <row r="4" spans="1:5" ht="29.4" thickBot="1" x14ac:dyDescent="0.35">
      <c r="A4" s="3">
        <v>3003</v>
      </c>
      <c r="B4" s="4" t="s">
        <v>72</v>
      </c>
      <c r="C4" s="4" t="s">
        <v>73</v>
      </c>
      <c r="D4" s="4">
        <v>63374</v>
      </c>
      <c r="E4" s="5">
        <v>42505</v>
      </c>
    </row>
    <row r="5" spans="1:5" ht="29.4" thickBot="1" x14ac:dyDescent="0.35">
      <c r="A5" s="3">
        <v>3004</v>
      </c>
      <c r="B5" s="4" t="s">
        <v>74</v>
      </c>
      <c r="C5" s="4" t="s">
        <v>70</v>
      </c>
      <c r="D5" s="4">
        <v>109972</v>
      </c>
      <c r="E5" s="5">
        <v>42755</v>
      </c>
    </row>
    <row r="6" spans="1:5" ht="29.4" thickBot="1" x14ac:dyDescent="0.35">
      <c r="A6" s="3">
        <v>3005</v>
      </c>
      <c r="B6" s="4" t="s">
        <v>75</v>
      </c>
      <c r="C6" s="4" t="s">
        <v>76</v>
      </c>
      <c r="D6" s="4">
        <v>54149</v>
      </c>
      <c r="E6" s="5">
        <v>43005</v>
      </c>
    </row>
    <row r="7" spans="1:5" ht="29.4" thickBot="1" x14ac:dyDescent="0.35">
      <c r="A7" s="3">
        <v>3006</v>
      </c>
      <c r="B7" s="4" t="s">
        <v>77</v>
      </c>
      <c r="C7" s="4" t="s">
        <v>76</v>
      </c>
      <c r="D7" s="4">
        <v>78689</v>
      </c>
      <c r="E7" s="5">
        <v>43255</v>
      </c>
    </row>
    <row r="8" spans="1:5" ht="29.4" thickBot="1" x14ac:dyDescent="0.35">
      <c r="A8" s="3">
        <v>3007</v>
      </c>
      <c r="B8" s="4" t="s">
        <v>78</v>
      </c>
      <c r="C8" s="4" t="s">
        <v>79</v>
      </c>
      <c r="D8" s="4">
        <v>35960</v>
      </c>
      <c r="E8" s="5">
        <v>43505</v>
      </c>
    </row>
    <row r="9" spans="1:5" ht="29.4" thickBot="1" x14ac:dyDescent="0.35">
      <c r="A9" s="3">
        <v>3008</v>
      </c>
      <c r="B9" s="4" t="s">
        <v>80</v>
      </c>
      <c r="C9" s="4" t="s">
        <v>76</v>
      </c>
      <c r="D9" s="4">
        <v>91659</v>
      </c>
      <c r="E9" s="5">
        <v>43755</v>
      </c>
    </row>
    <row r="10" spans="1:5" ht="29.4" thickBot="1" x14ac:dyDescent="0.35">
      <c r="A10" s="3">
        <v>3009</v>
      </c>
      <c r="B10" s="4" t="s">
        <v>81</v>
      </c>
      <c r="C10" s="4" t="s">
        <v>76</v>
      </c>
      <c r="D10" s="4">
        <v>90423</v>
      </c>
      <c r="E10" s="5">
        <v>44005</v>
      </c>
    </row>
    <row r="11" spans="1:5" ht="29.4" thickBot="1" x14ac:dyDescent="0.35">
      <c r="A11" s="3">
        <v>3010</v>
      </c>
      <c r="B11" s="4" t="s">
        <v>82</v>
      </c>
      <c r="C11" s="4" t="s">
        <v>73</v>
      </c>
      <c r="D11" s="4">
        <v>107877</v>
      </c>
      <c r="E11" s="5">
        <v>44255</v>
      </c>
    </row>
    <row r="12" spans="1:5" ht="29.4" thickBot="1" x14ac:dyDescent="0.35">
      <c r="A12" s="3">
        <v>3011</v>
      </c>
      <c r="B12" s="4" t="s">
        <v>83</v>
      </c>
      <c r="C12" s="4" t="s">
        <v>70</v>
      </c>
      <c r="D12" s="4">
        <v>107634</v>
      </c>
      <c r="E12" s="5">
        <v>44505</v>
      </c>
    </row>
    <row r="13" spans="1:5" ht="29.4" thickBot="1" x14ac:dyDescent="0.35">
      <c r="A13" s="3">
        <v>3012</v>
      </c>
      <c r="B13" s="4" t="s">
        <v>84</v>
      </c>
      <c r="C13" s="4" t="s">
        <v>70</v>
      </c>
      <c r="D13" s="4">
        <v>35226</v>
      </c>
      <c r="E13" s="5">
        <v>44755</v>
      </c>
    </row>
    <row r="14" spans="1:5" ht="29.4" thickBot="1" x14ac:dyDescent="0.35">
      <c r="A14" s="3">
        <v>3013</v>
      </c>
      <c r="B14" s="4" t="s">
        <v>85</v>
      </c>
      <c r="C14" s="4" t="s">
        <v>73</v>
      </c>
      <c r="D14" s="4">
        <v>40872</v>
      </c>
      <c r="E14" s="5">
        <v>45005</v>
      </c>
    </row>
    <row r="15" spans="1:5" ht="29.4" thickBot="1" x14ac:dyDescent="0.35">
      <c r="A15" s="3">
        <v>3014</v>
      </c>
      <c r="B15" s="4" t="s">
        <v>86</v>
      </c>
      <c r="C15" s="4" t="s">
        <v>73</v>
      </c>
      <c r="D15" s="4">
        <v>55378</v>
      </c>
      <c r="E15" s="5">
        <v>45255</v>
      </c>
    </row>
    <row r="16" spans="1:5" ht="29.4" thickBot="1" x14ac:dyDescent="0.35">
      <c r="A16" s="3">
        <v>3015</v>
      </c>
      <c r="B16" s="4" t="s">
        <v>87</v>
      </c>
      <c r="C16" s="4" t="s">
        <v>73</v>
      </c>
      <c r="D16" s="4">
        <v>63297</v>
      </c>
      <c r="E16" s="5">
        <v>45505</v>
      </c>
    </row>
    <row r="17" spans="1:5" ht="29.4" thickBot="1" x14ac:dyDescent="0.35">
      <c r="A17" s="3">
        <v>3016</v>
      </c>
      <c r="B17" s="4" t="s">
        <v>88</v>
      </c>
      <c r="C17" s="4" t="s">
        <v>70</v>
      </c>
      <c r="D17" s="4">
        <v>114173</v>
      </c>
      <c r="E17" s="5">
        <v>45755</v>
      </c>
    </row>
    <row r="18" spans="1:5" ht="29.4" thickBot="1" x14ac:dyDescent="0.35">
      <c r="A18" s="3">
        <v>3017</v>
      </c>
      <c r="B18" s="4" t="s">
        <v>89</v>
      </c>
      <c r="C18" s="4" t="s">
        <v>73</v>
      </c>
      <c r="D18" s="4">
        <v>86915</v>
      </c>
      <c r="E18" s="5">
        <v>46005</v>
      </c>
    </row>
    <row r="19" spans="1:5" ht="29.4" thickBot="1" x14ac:dyDescent="0.35">
      <c r="A19" s="3">
        <v>3018</v>
      </c>
      <c r="B19" s="4" t="s">
        <v>90</v>
      </c>
      <c r="C19" s="4" t="s">
        <v>76</v>
      </c>
      <c r="D19" s="4">
        <v>116284</v>
      </c>
      <c r="E19" s="5">
        <v>46255</v>
      </c>
    </row>
    <row r="20" spans="1:5" ht="29.4" thickBot="1" x14ac:dyDescent="0.35">
      <c r="A20" s="3">
        <v>3019</v>
      </c>
      <c r="B20" s="4" t="s">
        <v>91</v>
      </c>
      <c r="C20" s="4" t="s">
        <v>79</v>
      </c>
      <c r="D20" s="4">
        <v>116283</v>
      </c>
      <c r="E20" s="5">
        <v>46505</v>
      </c>
    </row>
    <row r="21" spans="1:5" ht="29.4" thickBot="1" x14ac:dyDescent="0.35">
      <c r="A21" s="3">
        <v>3020</v>
      </c>
      <c r="B21" s="4" t="s">
        <v>92</v>
      </c>
      <c r="C21" s="4" t="s">
        <v>79</v>
      </c>
      <c r="D21" s="4">
        <v>99924</v>
      </c>
      <c r="E21" s="5">
        <v>46755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kripal prajapti</dc:creator>
  <cp:lastModifiedBy>kripal prajapti</cp:lastModifiedBy>
  <dcterms:created xsi:type="dcterms:W3CDTF">2026-03-28T19:06:58Z</dcterms:created>
  <dcterms:modified xsi:type="dcterms:W3CDTF">2026-03-29T19:47:48Z</dcterms:modified>
</cp:coreProperties>
</file>